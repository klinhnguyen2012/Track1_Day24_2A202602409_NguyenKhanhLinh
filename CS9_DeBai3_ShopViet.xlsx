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linda/Desktop/"/>
    </mc:Choice>
  </mc:AlternateContent>
  <xr:revisionPtr revIDLastSave="0" documentId="8_{40C9E52B-0B78-A142-86FE-6C96E8A02C88}" xr6:coauthVersionLast="47" xr6:coauthVersionMax="47" xr10:uidLastSave="{00000000-0000-0000-0000-000000000000}"/>
  <bookViews>
    <workbookView xWindow="0" yWindow="660" windowWidth="16380" windowHeight="15680" tabRatio="500" xr2:uid="{00000000-000D-0000-FFFF-FFFF00000000}"/>
  </bookViews>
  <sheets>
    <sheet name="0_Hướng dẫn" sheetId="1" r:id="rId1"/>
    <sheet name="0_Đầu vào" sheetId="2" r:id="rId2"/>
    <sheet name="A_Tài chính căn bản" sheetId="3" r:id="rId3"/>
    <sheet name="1_Chi phí mỗi việc" sheetId="4" r:id="rId4"/>
    <sheet name="2_Định giá" sheetId="5" r:id="rId5"/>
    <sheet name="3_Giả định" sheetId="6" r:id="rId6"/>
    <sheet name="4_Chỉ số mỗi khách" sheetId="7" r:id="rId7"/>
    <sheet name="5_Dòng tiền &amp; hiệu quả" sheetId="8" r:id="rId8"/>
    <sheet name="6_Hiệu quả nội bộ" sheetId="9" r:id="rId9"/>
    <sheet name="7_Quyết định" sheetId="10" r:id="rId10"/>
    <sheet name="8_Thang điểm" sheetId="11" r:id="rId11"/>
    <sheet name="9_Số tham khảo" sheetId="12" r:id="rId1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11" l="1"/>
  <c r="B11" i="11"/>
  <c r="B9" i="10"/>
  <c r="C9" i="10" s="1"/>
  <c r="D22" i="9"/>
  <c r="C22" i="9"/>
  <c r="B22" i="9"/>
  <c r="D19" i="9"/>
  <c r="C19" i="9"/>
  <c r="B19" i="9"/>
  <c r="D18" i="9"/>
  <c r="C18" i="9"/>
  <c r="B18" i="9"/>
  <c r="D16" i="9"/>
  <c r="D17" i="9" s="1"/>
  <c r="C16" i="9"/>
  <c r="C17" i="9" s="1"/>
  <c r="B16" i="9"/>
  <c r="B17" i="9" s="1"/>
  <c r="B142" i="8"/>
  <c r="Z140" i="8"/>
  <c r="Y140" i="8"/>
  <c r="X140" i="8"/>
  <c r="W140" i="8"/>
  <c r="V140" i="8"/>
  <c r="U140" i="8"/>
  <c r="T140" i="8"/>
  <c r="S140" i="8"/>
  <c r="R140" i="8"/>
  <c r="Q140" i="8"/>
  <c r="P140" i="8"/>
  <c r="O140" i="8"/>
  <c r="N140" i="8"/>
  <c r="M140" i="8"/>
  <c r="L140" i="8"/>
  <c r="K140" i="8"/>
  <c r="J140" i="8"/>
  <c r="I140" i="8"/>
  <c r="H140" i="8"/>
  <c r="G140" i="8"/>
  <c r="F140" i="8"/>
  <c r="E140" i="8"/>
  <c r="D140" i="8"/>
  <c r="C140" i="8"/>
  <c r="C141" i="8" s="1"/>
  <c r="B138" i="8"/>
  <c r="B137" i="8"/>
  <c r="B136" i="8"/>
  <c r="Z134" i="8"/>
  <c r="Y134" i="8"/>
  <c r="X134" i="8"/>
  <c r="W134" i="8"/>
  <c r="V134" i="8"/>
  <c r="U134" i="8"/>
  <c r="T134" i="8"/>
  <c r="S134" i="8"/>
  <c r="R134" i="8"/>
  <c r="Q134" i="8"/>
  <c r="P134" i="8"/>
  <c r="O134" i="8"/>
  <c r="N134" i="8"/>
  <c r="M134" i="8"/>
  <c r="L134" i="8"/>
  <c r="K134" i="8"/>
  <c r="J134" i="8"/>
  <c r="I134" i="8"/>
  <c r="H134" i="8"/>
  <c r="G134" i="8"/>
  <c r="F134" i="8"/>
  <c r="E134" i="8"/>
  <c r="D134" i="8"/>
  <c r="C134" i="8"/>
  <c r="C135" i="8" s="1"/>
  <c r="B130" i="8"/>
  <c r="Z128" i="8"/>
  <c r="Y128" i="8"/>
  <c r="X128" i="8"/>
  <c r="W128" i="8"/>
  <c r="V128" i="8"/>
  <c r="U128" i="8"/>
  <c r="T128" i="8"/>
  <c r="S128" i="8"/>
  <c r="R128" i="8"/>
  <c r="Q128" i="8"/>
  <c r="P128" i="8"/>
  <c r="O128" i="8"/>
  <c r="N128" i="8"/>
  <c r="M128" i="8"/>
  <c r="L128" i="8"/>
  <c r="K128" i="8"/>
  <c r="J128" i="8"/>
  <c r="I128" i="8"/>
  <c r="H128" i="8"/>
  <c r="G128" i="8"/>
  <c r="F128" i="8"/>
  <c r="E128" i="8"/>
  <c r="D128" i="8"/>
  <c r="C128" i="8"/>
  <c r="C129" i="8" s="1"/>
  <c r="B126" i="8"/>
  <c r="B124" i="8"/>
  <c r="B125" i="8" s="1"/>
  <c r="Z122" i="8"/>
  <c r="Y122" i="8"/>
  <c r="X122" i="8"/>
  <c r="W122" i="8"/>
  <c r="V122" i="8"/>
  <c r="U122" i="8"/>
  <c r="T122" i="8"/>
  <c r="S122" i="8"/>
  <c r="R122" i="8"/>
  <c r="Q122" i="8"/>
  <c r="P122" i="8"/>
  <c r="O122" i="8"/>
  <c r="N122" i="8"/>
  <c r="M122" i="8"/>
  <c r="L122" i="8"/>
  <c r="K122" i="8"/>
  <c r="J122" i="8"/>
  <c r="I122" i="8"/>
  <c r="H122" i="8"/>
  <c r="G122" i="8"/>
  <c r="F122" i="8"/>
  <c r="E122" i="8"/>
  <c r="D122" i="8"/>
  <c r="C122" i="8"/>
  <c r="C123" i="8" s="1"/>
  <c r="B118" i="8"/>
  <c r="Z116" i="8"/>
  <c r="Y116" i="8"/>
  <c r="X116" i="8"/>
  <c r="W116" i="8"/>
  <c r="V116" i="8"/>
  <c r="U116" i="8"/>
  <c r="T116" i="8"/>
  <c r="S116" i="8"/>
  <c r="R116" i="8"/>
  <c r="Q116" i="8"/>
  <c r="P116" i="8"/>
  <c r="O116" i="8"/>
  <c r="N116" i="8"/>
  <c r="M116" i="8"/>
  <c r="L116" i="8"/>
  <c r="K116" i="8"/>
  <c r="J116" i="8"/>
  <c r="I116" i="8"/>
  <c r="H116" i="8"/>
  <c r="G116" i="8"/>
  <c r="F116" i="8"/>
  <c r="E116" i="8"/>
  <c r="D116" i="8"/>
  <c r="C116" i="8"/>
  <c r="C117" i="8" s="1"/>
  <c r="K88" i="8"/>
  <c r="J88" i="8"/>
  <c r="I88" i="8"/>
  <c r="H88" i="8"/>
  <c r="G88" i="8"/>
  <c r="F88" i="8"/>
  <c r="E88" i="8"/>
  <c r="D88" i="8"/>
  <c r="K87" i="8"/>
  <c r="J87" i="8"/>
  <c r="I87" i="8"/>
  <c r="H87" i="8"/>
  <c r="G87" i="8"/>
  <c r="F87" i="8"/>
  <c r="E87" i="8"/>
  <c r="D87" i="8"/>
  <c r="K86" i="8"/>
  <c r="J86" i="8"/>
  <c r="I86" i="8"/>
  <c r="H86" i="8"/>
  <c r="G86" i="8"/>
  <c r="F86" i="8"/>
  <c r="E86" i="8"/>
  <c r="D86" i="8"/>
  <c r="K85" i="8"/>
  <c r="J85" i="8"/>
  <c r="I85" i="8"/>
  <c r="H85" i="8"/>
  <c r="G85" i="8"/>
  <c r="F85" i="8"/>
  <c r="E85" i="8"/>
  <c r="D85" i="8"/>
  <c r="K84" i="8"/>
  <c r="J84" i="8"/>
  <c r="I84" i="8"/>
  <c r="H84" i="8"/>
  <c r="G84" i="8"/>
  <c r="F84" i="8"/>
  <c r="E84" i="8"/>
  <c r="D84" i="8"/>
  <c r="K83" i="8"/>
  <c r="J83" i="8"/>
  <c r="I83" i="8"/>
  <c r="B112" i="8" s="1"/>
  <c r="H83" i="8"/>
  <c r="G83" i="8"/>
  <c r="F83" i="8"/>
  <c r="E83" i="8"/>
  <c r="D83" i="8"/>
  <c r="K82" i="8"/>
  <c r="J82" i="8"/>
  <c r="I82" i="8"/>
  <c r="B106" i="8" s="1"/>
  <c r="H82" i="8"/>
  <c r="G82" i="8"/>
  <c r="F82" i="8"/>
  <c r="E82" i="8"/>
  <c r="D82" i="8"/>
  <c r="K81" i="8"/>
  <c r="J81" i="8"/>
  <c r="B101" i="8" s="1"/>
  <c r="I81" i="8"/>
  <c r="B100" i="8" s="1"/>
  <c r="H81" i="8"/>
  <c r="G81" i="8"/>
  <c r="F81" i="8"/>
  <c r="E81" i="8"/>
  <c r="D81" i="8"/>
  <c r="K80" i="8"/>
  <c r="J80" i="8"/>
  <c r="I80" i="8"/>
  <c r="B94" i="8" s="1"/>
  <c r="H80" i="8"/>
  <c r="G80" i="8"/>
  <c r="F80" i="8"/>
  <c r="E80" i="8"/>
  <c r="D80" i="8"/>
  <c r="B77" i="8"/>
  <c r="B76" i="8"/>
  <c r="B75" i="8"/>
  <c r="B74" i="8"/>
  <c r="C64" i="8"/>
  <c r="B64" i="8"/>
  <c r="C63" i="8"/>
  <c r="B63" i="8"/>
  <c r="C62" i="8"/>
  <c r="B62" i="8"/>
  <c r="C61" i="8"/>
  <c r="B61" i="8"/>
  <c r="C60" i="8"/>
  <c r="B60" i="8"/>
  <c r="B37" i="8"/>
  <c r="Z36" i="8"/>
  <c r="Y36" i="8"/>
  <c r="X36" i="8"/>
  <c r="W36" i="8"/>
  <c r="V36" i="8"/>
  <c r="U36" i="8"/>
  <c r="T36" i="8"/>
  <c r="S36" i="8"/>
  <c r="R36" i="8"/>
  <c r="Q36" i="8"/>
  <c r="P36" i="8"/>
  <c r="O36" i="8"/>
  <c r="N36" i="8"/>
  <c r="M36" i="8"/>
  <c r="L36" i="8"/>
  <c r="K36" i="8"/>
  <c r="J36" i="8"/>
  <c r="I36" i="8"/>
  <c r="H36" i="8"/>
  <c r="G36" i="8"/>
  <c r="F36" i="8"/>
  <c r="E36" i="8"/>
  <c r="D36" i="8"/>
  <c r="C36" i="8"/>
  <c r="Z30" i="8"/>
  <c r="Z35" i="8" s="1"/>
  <c r="Y30" i="8"/>
  <c r="Y35" i="8" s="1"/>
  <c r="X30" i="8"/>
  <c r="X35" i="8" s="1"/>
  <c r="W30" i="8"/>
  <c r="W35" i="8" s="1"/>
  <c r="V30" i="8"/>
  <c r="V35" i="8" s="1"/>
  <c r="U30" i="8"/>
  <c r="U35" i="8" s="1"/>
  <c r="T30" i="8"/>
  <c r="T35" i="8" s="1"/>
  <c r="S30" i="8"/>
  <c r="S35" i="8" s="1"/>
  <c r="R30" i="8"/>
  <c r="R35" i="8" s="1"/>
  <c r="Q30" i="8"/>
  <c r="Q35" i="8" s="1"/>
  <c r="P30" i="8"/>
  <c r="P35" i="8" s="1"/>
  <c r="O30" i="8"/>
  <c r="O35" i="8" s="1"/>
  <c r="N30" i="8"/>
  <c r="N35" i="8" s="1"/>
  <c r="M30" i="8"/>
  <c r="M35" i="8" s="1"/>
  <c r="L30" i="8"/>
  <c r="L35" i="8" s="1"/>
  <c r="K30" i="8"/>
  <c r="K35" i="8" s="1"/>
  <c r="J30" i="8"/>
  <c r="J35" i="8" s="1"/>
  <c r="I30" i="8"/>
  <c r="I35" i="8" s="1"/>
  <c r="H30" i="8"/>
  <c r="H35" i="8" s="1"/>
  <c r="G30" i="8"/>
  <c r="G35" i="8" s="1"/>
  <c r="B25" i="8"/>
  <c r="Z24" i="8"/>
  <c r="Y24" i="8"/>
  <c r="X24" i="8"/>
  <c r="W24" i="8"/>
  <c r="V24" i="8"/>
  <c r="U24" i="8"/>
  <c r="T24" i="8"/>
  <c r="S24" i="8"/>
  <c r="R24" i="8"/>
  <c r="Q24" i="8"/>
  <c r="P24" i="8"/>
  <c r="O24" i="8"/>
  <c r="N24" i="8"/>
  <c r="M24" i="8"/>
  <c r="L24" i="8"/>
  <c r="K24" i="8"/>
  <c r="J24" i="8"/>
  <c r="I24" i="8"/>
  <c r="H24" i="8"/>
  <c r="G24" i="8"/>
  <c r="F24" i="8"/>
  <c r="E24" i="8"/>
  <c r="D24" i="8"/>
  <c r="C24" i="8"/>
  <c r="Y23" i="8"/>
  <c r="X23" i="8"/>
  <c r="W23" i="8"/>
  <c r="V23" i="8"/>
  <c r="U23" i="8"/>
  <c r="T23" i="8"/>
  <c r="S23" i="8"/>
  <c r="R23" i="8"/>
  <c r="Q23" i="8"/>
  <c r="P23" i="8"/>
  <c r="O23" i="8"/>
  <c r="N23" i="8"/>
  <c r="M23" i="8"/>
  <c r="L23" i="8"/>
  <c r="K23" i="8"/>
  <c r="J23" i="8"/>
  <c r="I23" i="8"/>
  <c r="H23" i="8"/>
  <c r="G23" i="8"/>
  <c r="F23" i="8"/>
  <c r="E23" i="8"/>
  <c r="D23" i="8"/>
  <c r="C23" i="8"/>
  <c r="C19" i="8"/>
  <c r="Z18" i="8"/>
  <c r="Z23" i="8" s="1"/>
  <c r="Y18" i="8"/>
  <c r="X18" i="8"/>
  <c r="W18" i="8"/>
  <c r="V18" i="8"/>
  <c r="U18" i="8"/>
  <c r="T18" i="8"/>
  <c r="S18" i="8"/>
  <c r="R18" i="8"/>
  <c r="Q18" i="8"/>
  <c r="P18" i="8"/>
  <c r="O18" i="8"/>
  <c r="N18" i="8"/>
  <c r="M18" i="8"/>
  <c r="L18" i="8"/>
  <c r="K18" i="8"/>
  <c r="J18" i="8"/>
  <c r="I18" i="8"/>
  <c r="H18" i="8"/>
  <c r="G18" i="8"/>
  <c r="F18" i="8"/>
  <c r="E18" i="8"/>
  <c r="D18" i="8"/>
  <c r="C18" i="8"/>
  <c r="P12" i="8"/>
  <c r="O12" i="8"/>
  <c r="N12" i="8"/>
  <c r="M12" i="8"/>
  <c r="L12" i="8"/>
  <c r="K12" i="8"/>
  <c r="J12" i="8"/>
  <c r="I12" i="8"/>
  <c r="H12" i="8"/>
  <c r="G12" i="8"/>
  <c r="F12" i="8"/>
  <c r="E12" i="8"/>
  <c r="D12" i="8"/>
  <c r="C12" i="8"/>
  <c r="C10" i="7"/>
  <c r="C8" i="7"/>
  <c r="D13" i="6"/>
  <c r="B13" i="6"/>
  <c r="D12" i="6"/>
  <c r="B12" i="6"/>
  <c r="B13" i="8" s="1"/>
  <c r="D11" i="6"/>
  <c r="B11" i="6"/>
  <c r="D10" i="6"/>
  <c r="B10" i="6"/>
  <c r="B10" i="7" s="1"/>
  <c r="D9" i="6"/>
  <c r="B9" i="6"/>
  <c r="D8" i="6"/>
  <c r="B8" i="6"/>
  <c r="D7" i="6"/>
  <c r="B7" i="6"/>
  <c r="C17" i="5"/>
  <c r="B17" i="5"/>
  <c r="B18" i="5" s="1"/>
  <c r="G16" i="5"/>
  <c r="D16" i="5"/>
  <c r="G15" i="5"/>
  <c r="D15" i="5"/>
  <c r="B23" i="4"/>
  <c r="B22" i="4"/>
  <c r="B21" i="4"/>
  <c r="B24" i="4" s="1"/>
  <c r="G89" i="3"/>
  <c r="C88" i="3"/>
  <c r="G88" i="3" s="1"/>
  <c r="G87" i="3"/>
  <c r="C86" i="3"/>
  <c r="G86" i="3" s="1"/>
  <c r="C67" i="3"/>
  <c r="G67" i="3" s="1"/>
  <c r="C64" i="3"/>
  <c r="G64" i="3" s="1"/>
  <c r="C60" i="3"/>
  <c r="C59" i="3"/>
  <c r="C44" i="3"/>
  <c r="F30" i="3"/>
  <c r="E28" i="3"/>
  <c r="D28" i="3"/>
  <c r="C28" i="3"/>
  <c r="F28" i="3" s="1"/>
  <c r="E26" i="3"/>
  <c r="D26" i="3"/>
  <c r="C26" i="3"/>
  <c r="E24" i="3"/>
  <c r="D24" i="3"/>
  <c r="C24" i="3"/>
  <c r="F24" i="3" s="1"/>
  <c r="E22" i="3"/>
  <c r="D22" i="3"/>
  <c r="C22" i="3"/>
  <c r="F22" i="3" s="1"/>
  <c r="E21" i="3"/>
  <c r="E23" i="3" s="1"/>
  <c r="D21" i="3"/>
  <c r="D23" i="3" s="1"/>
  <c r="C21" i="3"/>
  <c r="B12" i="2"/>
  <c r="D20" i="9" l="1"/>
  <c r="D21" i="9"/>
  <c r="C20" i="9"/>
  <c r="C21" i="9"/>
  <c r="B20" i="9"/>
  <c r="B21" i="9"/>
  <c r="B144" i="8"/>
  <c r="B143" i="8"/>
  <c r="D141" i="8"/>
  <c r="D135" i="8"/>
  <c r="B132" i="8"/>
  <c r="B131" i="8"/>
  <c r="D129" i="8"/>
  <c r="D123" i="8"/>
  <c r="B119" i="8"/>
  <c r="B120" i="8"/>
  <c r="D117" i="8"/>
  <c r="B114" i="8"/>
  <c r="L110" i="8"/>
  <c r="P110" i="8"/>
  <c r="I110" i="8"/>
  <c r="J110" i="8"/>
  <c r="K110" i="8"/>
  <c r="G110" i="8"/>
  <c r="F110" i="8"/>
  <c r="E110" i="8"/>
  <c r="D110" i="8"/>
  <c r="C110" i="8"/>
  <c r="C111" i="8" s="1"/>
  <c r="M110" i="8"/>
  <c r="N110" i="8"/>
  <c r="O110" i="8"/>
  <c r="Z110" i="8"/>
  <c r="Y110" i="8"/>
  <c r="X110" i="8"/>
  <c r="W110" i="8"/>
  <c r="V110" i="8"/>
  <c r="U110" i="8"/>
  <c r="T110" i="8"/>
  <c r="S110" i="8"/>
  <c r="R110" i="8"/>
  <c r="Q110" i="8"/>
  <c r="H110" i="8"/>
  <c r="B108" i="8"/>
  <c r="L104" i="8"/>
  <c r="P104" i="8"/>
  <c r="J104" i="8"/>
  <c r="I104" i="8"/>
  <c r="H104" i="8"/>
  <c r="G104" i="8"/>
  <c r="F104" i="8"/>
  <c r="E104" i="8"/>
  <c r="D104" i="8"/>
  <c r="C104" i="8"/>
  <c r="C105" i="8" s="1"/>
  <c r="M104" i="8"/>
  <c r="N104" i="8"/>
  <c r="O104" i="8"/>
  <c r="Z104" i="8"/>
  <c r="Y104" i="8"/>
  <c r="X104" i="8"/>
  <c r="W104" i="8"/>
  <c r="V104" i="8"/>
  <c r="U104" i="8"/>
  <c r="T104" i="8"/>
  <c r="S104" i="8"/>
  <c r="R104" i="8"/>
  <c r="Q104" i="8"/>
  <c r="K104" i="8"/>
  <c r="B102" i="8"/>
  <c r="D98" i="8"/>
  <c r="W98" i="8"/>
  <c r="C98" i="8"/>
  <c r="C99" i="8" s="1"/>
  <c r="E98" i="8"/>
  <c r="F98" i="8"/>
  <c r="G98" i="8"/>
  <c r="H98" i="8"/>
  <c r="I98" i="8"/>
  <c r="T98" i="8"/>
  <c r="U98" i="8"/>
  <c r="V98" i="8"/>
  <c r="J98" i="8"/>
  <c r="K98" i="8"/>
  <c r="L98" i="8"/>
  <c r="M98" i="8"/>
  <c r="N98" i="8"/>
  <c r="O98" i="8"/>
  <c r="P98" i="8"/>
  <c r="Q98" i="8"/>
  <c r="R98" i="8"/>
  <c r="Z98" i="8"/>
  <c r="Y98" i="8"/>
  <c r="X98" i="8"/>
  <c r="S98" i="8"/>
  <c r="B96" i="8"/>
  <c r="E92" i="8"/>
  <c r="T92" i="8"/>
  <c r="G92" i="8"/>
  <c r="H92" i="8"/>
  <c r="I92" i="8"/>
  <c r="J92" i="8"/>
  <c r="K92" i="8"/>
  <c r="L92" i="8"/>
  <c r="M92" i="8"/>
  <c r="Z92" i="8"/>
  <c r="N92" i="8"/>
  <c r="O92" i="8"/>
  <c r="P92" i="8"/>
  <c r="Q92" i="8"/>
  <c r="R92" i="8"/>
  <c r="C92" i="8"/>
  <c r="C93" i="8" s="1"/>
  <c r="D92" i="8"/>
  <c r="S92" i="8"/>
  <c r="Y92" i="8"/>
  <c r="X92" i="8"/>
  <c r="W92" i="8"/>
  <c r="V92" i="8"/>
  <c r="U92" i="8"/>
  <c r="F92" i="8"/>
  <c r="B38" i="8"/>
  <c r="B39" i="8"/>
  <c r="B26" i="8"/>
  <c r="B27" i="8"/>
  <c r="D19" i="8"/>
  <c r="B15" i="8"/>
  <c r="X12" i="8"/>
  <c r="W12" i="8"/>
  <c r="V12" i="8"/>
  <c r="Y12" i="8"/>
  <c r="U12" i="8"/>
  <c r="T12" i="8"/>
  <c r="S12" i="8"/>
  <c r="R12" i="8"/>
  <c r="Q12" i="8"/>
  <c r="Z12" i="8"/>
  <c r="B22" i="6"/>
  <c r="D10" i="7"/>
  <c r="B21" i="6"/>
  <c r="D8" i="7"/>
  <c r="B8" i="7"/>
  <c r="F30" i="8"/>
  <c r="F35" i="8" s="1"/>
  <c r="E30" i="8"/>
  <c r="E35" i="8" s="1"/>
  <c r="D30" i="8"/>
  <c r="D35" i="8" s="1"/>
  <c r="C30" i="8"/>
  <c r="H6" i="8"/>
  <c r="H11" i="8" s="1"/>
  <c r="U6" i="8"/>
  <c r="U11" i="8" s="1"/>
  <c r="R6" i="8"/>
  <c r="R11" i="8" s="1"/>
  <c r="J6" i="8"/>
  <c r="J11" i="8" s="1"/>
  <c r="I6" i="8"/>
  <c r="I11" i="8" s="1"/>
  <c r="S6" i="8"/>
  <c r="S11" i="8" s="1"/>
  <c r="T6" i="8"/>
  <c r="T11" i="8" s="1"/>
  <c r="C6" i="8"/>
  <c r="D6" i="8"/>
  <c r="D11" i="8" s="1"/>
  <c r="E6" i="8"/>
  <c r="E11" i="8" s="1"/>
  <c r="F6" i="8"/>
  <c r="F11" i="8" s="1"/>
  <c r="Q6" i="8"/>
  <c r="Q11" i="8" s="1"/>
  <c r="L6" i="8"/>
  <c r="L11" i="8" s="1"/>
  <c r="M6" i="8"/>
  <c r="M11" i="8" s="1"/>
  <c r="N6" i="8"/>
  <c r="N11" i="8" s="1"/>
  <c r="O6" i="8"/>
  <c r="O11" i="8" s="1"/>
  <c r="P6" i="8"/>
  <c r="P11" i="8" s="1"/>
  <c r="G6" i="8"/>
  <c r="G11" i="8" s="1"/>
  <c r="Z6" i="8"/>
  <c r="Z11" i="8" s="1"/>
  <c r="Y6" i="8"/>
  <c r="Y11" i="8" s="1"/>
  <c r="X6" i="8"/>
  <c r="X11" i="8" s="1"/>
  <c r="W6" i="8"/>
  <c r="W11" i="8" s="1"/>
  <c r="V6" i="8"/>
  <c r="V11" i="8" s="1"/>
  <c r="K6" i="8"/>
  <c r="K11" i="8" s="1"/>
  <c r="B31" i="5"/>
  <c r="C31" i="5" s="1"/>
  <c r="D31" i="5" s="1"/>
  <c r="B30" i="5"/>
  <c r="C30" i="5" s="1"/>
  <c r="D30" i="5" s="1"/>
  <c r="G17" i="5"/>
  <c r="D17" i="5"/>
  <c r="B21" i="5" s="1"/>
  <c r="B88" i="8"/>
  <c r="B29" i="5"/>
  <c r="C29" i="5" s="1"/>
  <c r="D29" i="5" s="1"/>
  <c r="B25" i="4"/>
  <c r="B5" i="10" s="1"/>
  <c r="C5" i="10" s="1"/>
  <c r="B27" i="4"/>
  <c r="E15" i="5"/>
  <c r="E16" i="5"/>
  <c r="B26" i="4"/>
  <c r="B19" i="5" s="1"/>
  <c r="C61" i="3"/>
  <c r="C46" i="3"/>
  <c r="G46" i="3" s="1"/>
  <c r="C40" i="3"/>
  <c r="F26" i="3"/>
  <c r="C58" i="3"/>
  <c r="E25" i="3"/>
  <c r="E27" i="3" s="1"/>
  <c r="E29" i="3" s="1"/>
  <c r="E31" i="3" s="1"/>
  <c r="E32" i="3"/>
  <c r="D25" i="3"/>
  <c r="D27" i="3" s="1"/>
  <c r="D29" i="3" s="1"/>
  <c r="D31" i="3" s="1"/>
  <c r="D32" i="3"/>
  <c r="F21" i="3"/>
  <c r="C23" i="3"/>
  <c r="G23" i="3" s="1"/>
  <c r="B113" i="8"/>
  <c r="B107" i="8"/>
  <c r="B95" i="8"/>
  <c r="B14" i="8"/>
  <c r="E141" i="8" l="1"/>
  <c r="D142" i="8"/>
  <c r="E135" i="8"/>
  <c r="E129" i="8"/>
  <c r="E123" i="8"/>
  <c r="E117" i="8"/>
  <c r="D111" i="8"/>
  <c r="D105" i="8"/>
  <c r="D99" i="8"/>
  <c r="D93" i="8"/>
  <c r="E19" i="8"/>
  <c r="C31" i="8"/>
  <c r="C35" i="8"/>
  <c r="B22" i="5"/>
  <c r="B23" i="5"/>
  <c r="B17" i="6"/>
  <c r="C17" i="6"/>
  <c r="D20" i="8" s="1"/>
  <c r="D17" i="6"/>
  <c r="E17" i="5"/>
  <c r="C88" i="8"/>
  <c r="C142" i="8" s="1"/>
  <c r="C144" i="8" s="1"/>
  <c r="E29" i="5"/>
  <c r="F29" i="5" s="1"/>
  <c r="E30" i="5"/>
  <c r="F30" i="5" s="1"/>
  <c r="E31" i="5"/>
  <c r="F31" i="5" s="1"/>
  <c r="F23" i="3"/>
  <c r="F32" i="3" s="1"/>
  <c r="C32" i="3"/>
  <c r="C25" i="3"/>
  <c r="G25" i="3" s="1"/>
  <c r="C11" i="8"/>
  <c r="C7" i="8"/>
  <c r="F15" i="5"/>
  <c r="H15" i="5"/>
  <c r="H16" i="5"/>
  <c r="F16" i="5"/>
  <c r="F141" i="8" l="1"/>
  <c r="E142" i="8"/>
  <c r="F135" i="8"/>
  <c r="F129" i="8"/>
  <c r="F123" i="8"/>
  <c r="F117" i="8"/>
  <c r="E111" i="8"/>
  <c r="E105" i="8"/>
  <c r="E99" i="8"/>
  <c r="E93" i="8"/>
  <c r="F19" i="8"/>
  <c r="E20" i="8"/>
  <c r="D31" i="8"/>
  <c r="C32" i="8"/>
  <c r="B5" i="7"/>
  <c r="C20" i="8"/>
  <c r="C5" i="7"/>
  <c r="B58" i="8"/>
  <c r="B72" i="8"/>
  <c r="B82" i="8"/>
  <c r="B83" i="8"/>
  <c r="B87" i="8"/>
  <c r="B80" i="8"/>
  <c r="B81" i="8"/>
  <c r="B84" i="8"/>
  <c r="B85" i="8"/>
  <c r="B86" i="8"/>
  <c r="D5" i="7"/>
  <c r="H17" i="5"/>
  <c r="B18" i="6"/>
  <c r="C18" i="6"/>
  <c r="D18" i="6"/>
  <c r="C143" i="8"/>
  <c r="F25" i="3"/>
  <c r="C27" i="3"/>
  <c r="G27" i="3"/>
  <c r="D144" i="8"/>
  <c r="C8" i="8"/>
  <c r="D7" i="8"/>
  <c r="F17" i="5"/>
  <c r="B32" i="5"/>
  <c r="C32" i="5" s="1"/>
  <c r="G141" i="8" l="1"/>
  <c r="F142" i="8"/>
  <c r="G135" i="8"/>
  <c r="G129" i="8"/>
  <c r="G123" i="8"/>
  <c r="G117" i="8"/>
  <c r="F111" i="8"/>
  <c r="F105" i="8"/>
  <c r="F99" i="8"/>
  <c r="F93" i="8"/>
  <c r="E94" i="8"/>
  <c r="G19" i="8"/>
  <c r="F20" i="8"/>
  <c r="F21" i="8"/>
  <c r="E31" i="8"/>
  <c r="D32" i="8"/>
  <c r="D33" i="8"/>
  <c r="C100" i="8"/>
  <c r="C58" i="8"/>
  <c r="D118" i="8"/>
  <c r="C118" i="8"/>
  <c r="D124" i="8"/>
  <c r="C124" i="8"/>
  <c r="D130" i="8"/>
  <c r="C130" i="8"/>
  <c r="D21" i="8"/>
  <c r="D22" i="8" s="1"/>
  <c r="D25" i="8" s="1"/>
  <c r="C21" i="8"/>
  <c r="C22" i="8" s="1"/>
  <c r="C25" i="8" s="1"/>
  <c r="B59" i="8"/>
  <c r="C80" i="8"/>
  <c r="C83" i="8"/>
  <c r="E112" i="8" s="1"/>
  <c r="C84" i="8"/>
  <c r="C85" i="8"/>
  <c r="C81" i="8"/>
  <c r="C82" i="8"/>
  <c r="E106" i="8" s="1"/>
  <c r="C86" i="8"/>
  <c r="C87" i="8"/>
  <c r="D143" i="8"/>
  <c r="F27" i="3"/>
  <c r="C29" i="3"/>
  <c r="G29" i="3"/>
  <c r="E7" i="8"/>
  <c r="D9" i="8"/>
  <c r="D8" i="8"/>
  <c r="D10" i="8" s="1"/>
  <c r="D13" i="8" s="1"/>
  <c r="B6" i="7"/>
  <c r="C9" i="8"/>
  <c r="C10" i="8" s="1"/>
  <c r="C13" i="8" s="1"/>
  <c r="E21" i="8"/>
  <c r="E22" i="8" s="1"/>
  <c r="E25" i="8" s="1"/>
  <c r="C6" i="7"/>
  <c r="C33" i="8"/>
  <c r="C34" i="8" s="1"/>
  <c r="C37" i="8" s="1"/>
  <c r="D6" i="7"/>
  <c r="E144" i="8"/>
  <c r="H141" i="8" l="1"/>
  <c r="G142" i="8"/>
  <c r="G143" i="8" s="1"/>
  <c r="F144" i="8"/>
  <c r="H135" i="8"/>
  <c r="G136" i="8"/>
  <c r="H129" i="8"/>
  <c r="G130" i="8"/>
  <c r="H123" i="8"/>
  <c r="G124" i="8"/>
  <c r="H117" i="8"/>
  <c r="G118" i="8"/>
  <c r="G111" i="8"/>
  <c r="F112" i="8"/>
  <c r="G105" i="8"/>
  <c r="F106" i="8"/>
  <c r="G99" i="8"/>
  <c r="F100" i="8"/>
  <c r="G93" i="8"/>
  <c r="F94" i="8"/>
  <c r="H19" i="8"/>
  <c r="G20" i="8"/>
  <c r="G22" i="8" s="1"/>
  <c r="G25" i="8" s="1"/>
  <c r="G21" i="8"/>
  <c r="F31" i="8"/>
  <c r="E32" i="8"/>
  <c r="E33" i="8"/>
  <c r="C101" i="8"/>
  <c r="C102" i="8"/>
  <c r="C119" i="8"/>
  <c r="C120" i="8"/>
  <c r="C126" i="8"/>
  <c r="C125" i="8"/>
  <c r="C132" i="8"/>
  <c r="C131" i="8"/>
  <c r="C27" i="8"/>
  <c r="C26" i="8"/>
  <c r="D94" i="8"/>
  <c r="C94" i="8"/>
  <c r="D112" i="8"/>
  <c r="C112" i="8"/>
  <c r="D106" i="8"/>
  <c r="C106" i="8"/>
  <c r="C59" i="8"/>
  <c r="C31" i="3"/>
  <c r="G31" i="3"/>
  <c r="F29" i="3"/>
  <c r="F7" i="8"/>
  <c r="E9" i="8"/>
  <c r="E8" i="8"/>
  <c r="E10" i="8" s="1"/>
  <c r="E13" i="8" s="1"/>
  <c r="B9" i="7"/>
  <c r="B11" i="7" s="1"/>
  <c r="B13" i="7" s="1"/>
  <c r="B7" i="7"/>
  <c r="B12" i="7"/>
  <c r="C15" i="8"/>
  <c r="C14" i="8"/>
  <c r="C9" i="7"/>
  <c r="C7" i="7"/>
  <c r="C12" i="7"/>
  <c r="B8" i="10" s="1"/>
  <c r="C8" i="10" s="1"/>
  <c r="C39" i="8"/>
  <c r="C38" i="8"/>
  <c r="D9" i="7"/>
  <c r="D11" i="7" s="1"/>
  <c r="D13" i="7" s="1"/>
  <c r="D7" i="7"/>
  <c r="D12" i="7"/>
  <c r="F22" i="8"/>
  <c r="F25" i="8" s="1"/>
  <c r="D34" i="8"/>
  <c r="D37" i="8" s="1"/>
  <c r="E118" i="8"/>
  <c r="F118" i="8"/>
  <c r="E124" i="8"/>
  <c r="F124" i="8"/>
  <c r="D100" i="8"/>
  <c r="E100" i="8"/>
  <c r="E130" i="8"/>
  <c r="F130" i="8"/>
  <c r="E136" i="8"/>
  <c r="F136" i="8"/>
  <c r="D136" i="8"/>
  <c r="C136" i="8"/>
  <c r="E143" i="8"/>
  <c r="F143" i="8" s="1"/>
  <c r="F68" i="8"/>
  <c r="I141" i="8" l="1"/>
  <c r="H142" i="8"/>
  <c r="G144" i="8"/>
  <c r="I135" i="8"/>
  <c r="H136" i="8"/>
  <c r="I129" i="8"/>
  <c r="H130" i="8"/>
  <c r="I123" i="8"/>
  <c r="H124" i="8"/>
  <c r="I117" i="8"/>
  <c r="H118" i="8"/>
  <c r="H111" i="8"/>
  <c r="G112" i="8"/>
  <c r="H105" i="8"/>
  <c r="G106" i="8"/>
  <c r="H99" i="8"/>
  <c r="G100" i="8"/>
  <c r="H93" i="8"/>
  <c r="G94" i="8"/>
  <c r="I19" i="8"/>
  <c r="H20" i="8"/>
  <c r="H21" i="8"/>
  <c r="G31" i="8"/>
  <c r="F32" i="8"/>
  <c r="F33" i="8"/>
  <c r="D101" i="8"/>
  <c r="D102" i="8"/>
  <c r="D119" i="8"/>
  <c r="D120" i="8"/>
  <c r="E120" i="8" s="1"/>
  <c r="F120" i="8" s="1"/>
  <c r="G120" i="8" s="1"/>
  <c r="D126" i="8"/>
  <c r="D125" i="8"/>
  <c r="D132" i="8"/>
  <c r="D131" i="8"/>
  <c r="D27" i="8"/>
  <c r="D26" i="8"/>
  <c r="C95" i="8"/>
  <c r="C96" i="8"/>
  <c r="C113" i="8"/>
  <c r="C114" i="8"/>
  <c r="C107" i="8"/>
  <c r="C108" i="8"/>
  <c r="F31" i="3"/>
  <c r="G33" i="3" s="1"/>
  <c r="G7" i="8"/>
  <c r="F9" i="8"/>
  <c r="F8" i="8"/>
  <c r="F10" i="8" s="1"/>
  <c r="F13" i="8" s="1"/>
  <c r="D15" i="8"/>
  <c r="D14" i="8"/>
  <c r="C11" i="7"/>
  <c r="B73" i="8"/>
  <c r="B6" i="10"/>
  <c r="C6" i="10" s="1"/>
  <c r="D39" i="8"/>
  <c r="D38" i="8"/>
  <c r="C137" i="8"/>
  <c r="C138" i="8"/>
  <c r="E34" i="8"/>
  <c r="E37" i="8" s="1"/>
  <c r="J141" i="8" l="1"/>
  <c r="I142" i="8"/>
  <c r="I144" i="8" s="1"/>
  <c r="H143" i="8"/>
  <c r="I143" i="8" s="1"/>
  <c r="J135" i="8"/>
  <c r="I136" i="8"/>
  <c r="J129" i="8"/>
  <c r="I130" i="8"/>
  <c r="J123" i="8"/>
  <c r="I124" i="8"/>
  <c r="J117" i="8"/>
  <c r="I118" i="8"/>
  <c r="I111" i="8"/>
  <c r="H112" i="8"/>
  <c r="I105" i="8"/>
  <c r="H106" i="8"/>
  <c r="I99" i="8"/>
  <c r="H100" i="8"/>
  <c r="I93" i="8"/>
  <c r="H94" i="8"/>
  <c r="J19" i="8"/>
  <c r="I20" i="8"/>
  <c r="I21" i="8"/>
  <c r="H31" i="8"/>
  <c r="G32" i="8"/>
  <c r="G33" i="8"/>
  <c r="D95" i="8"/>
  <c r="E95" i="8" s="1"/>
  <c r="F95" i="8" s="1"/>
  <c r="G95" i="8" s="1"/>
  <c r="H95" i="8" s="1"/>
  <c r="F57" i="8"/>
  <c r="D96" i="8"/>
  <c r="D113" i="8"/>
  <c r="D114" i="8"/>
  <c r="D107" i="8"/>
  <c r="E107" i="8" s="1"/>
  <c r="F107" i="8" s="1"/>
  <c r="G107" i="8" s="1"/>
  <c r="F59" i="8"/>
  <c r="D108" i="8"/>
  <c r="C49" i="3"/>
  <c r="C57" i="3"/>
  <c r="H7" i="8"/>
  <c r="G9" i="8"/>
  <c r="G8" i="8"/>
  <c r="G10" i="8" s="1"/>
  <c r="G13" i="8" s="1"/>
  <c r="C13" i="7"/>
  <c r="B7" i="10"/>
  <c r="C7" i="10" s="1"/>
  <c r="D137" i="8"/>
  <c r="D138" i="8"/>
  <c r="H22" i="8"/>
  <c r="H25" i="8" s="1"/>
  <c r="F34" i="8"/>
  <c r="F37" i="8" s="1"/>
  <c r="G101" i="8"/>
  <c r="H101" i="8" s="1"/>
  <c r="G102" i="8"/>
  <c r="H119" i="8"/>
  <c r="H120" i="8"/>
  <c r="H126" i="8"/>
  <c r="I126" i="8" s="1"/>
  <c r="H125" i="8"/>
  <c r="I125" i="8" s="1"/>
  <c r="H132" i="8"/>
  <c r="H131" i="8"/>
  <c r="E39" i="8"/>
  <c r="E38" i="8"/>
  <c r="H144" i="8"/>
  <c r="E101" i="8"/>
  <c r="F101" i="8" s="1"/>
  <c r="F58" i="8"/>
  <c r="E102" i="8"/>
  <c r="F102" i="8" s="1"/>
  <c r="E119" i="8"/>
  <c r="F119" i="8" s="1"/>
  <c r="G119" i="8" s="1"/>
  <c r="F61" i="8"/>
  <c r="E126" i="8"/>
  <c r="F126" i="8" s="1"/>
  <c r="G126" i="8" s="1"/>
  <c r="E125" i="8"/>
  <c r="F125" i="8" s="1"/>
  <c r="G125" i="8" s="1"/>
  <c r="F62" i="8"/>
  <c r="E132" i="8"/>
  <c r="F132" i="8" s="1"/>
  <c r="G132" i="8" s="1"/>
  <c r="E131" i="8"/>
  <c r="F131" i="8" s="1"/>
  <c r="G131" i="8" s="1"/>
  <c r="F63" i="8"/>
  <c r="E27" i="8"/>
  <c r="F27" i="8" s="1"/>
  <c r="G27" i="8" s="1"/>
  <c r="E26" i="8"/>
  <c r="F26" i="8" s="1"/>
  <c r="G26" i="8" s="1"/>
  <c r="C47" i="8"/>
  <c r="E15" i="8"/>
  <c r="F15" i="8" s="1"/>
  <c r="E14" i="8"/>
  <c r="F14" i="8" s="1"/>
  <c r="K141" i="8" l="1"/>
  <c r="J142" i="8"/>
  <c r="K135" i="8"/>
  <c r="J136" i="8"/>
  <c r="K129" i="8"/>
  <c r="J130" i="8"/>
  <c r="K123" i="8"/>
  <c r="J124" i="8"/>
  <c r="K117" i="8"/>
  <c r="J118" i="8"/>
  <c r="J111" i="8"/>
  <c r="I112" i="8"/>
  <c r="I113" i="8" s="1"/>
  <c r="J105" i="8"/>
  <c r="I106" i="8"/>
  <c r="I108" i="8" s="1"/>
  <c r="J99" i="8"/>
  <c r="I100" i="8"/>
  <c r="J93" i="8"/>
  <c r="I94" i="8"/>
  <c r="K19" i="8"/>
  <c r="J20" i="8"/>
  <c r="J21" i="8"/>
  <c r="I31" i="8"/>
  <c r="H32" i="8"/>
  <c r="H33" i="8"/>
  <c r="G53" i="3"/>
  <c r="C50" i="3"/>
  <c r="G50" i="3"/>
  <c r="C62" i="3"/>
  <c r="G72" i="3"/>
  <c r="G62" i="3"/>
  <c r="I7" i="8"/>
  <c r="H9" i="8"/>
  <c r="H8" i="8"/>
  <c r="H10" i="8" s="1"/>
  <c r="H13" i="8" s="1"/>
  <c r="G14" i="8"/>
  <c r="G15" i="8"/>
  <c r="H26" i="8"/>
  <c r="H27" i="8"/>
  <c r="I120" i="8"/>
  <c r="F39" i="8"/>
  <c r="F38" i="8"/>
  <c r="I22" i="8"/>
  <c r="I25" i="8" s="1"/>
  <c r="G34" i="8"/>
  <c r="G37" i="8" s="1"/>
  <c r="H114" i="8"/>
  <c r="H107" i="8"/>
  <c r="I107" i="8" s="1"/>
  <c r="I119" i="8"/>
  <c r="I132" i="8"/>
  <c r="I131" i="8"/>
  <c r="E96" i="8"/>
  <c r="F96" i="8" s="1"/>
  <c r="G96" i="8" s="1"/>
  <c r="H96" i="8" s="1"/>
  <c r="E113" i="8"/>
  <c r="F113" i="8" s="1"/>
  <c r="G113" i="8" s="1"/>
  <c r="H113" i="8" s="1"/>
  <c r="F60" i="8"/>
  <c r="E114" i="8"/>
  <c r="F114" i="8" s="1"/>
  <c r="G114" i="8" s="1"/>
  <c r="E108" i="8"/>
  <c r="F108" i="8" s="1"/>
  <c r="G108" i="8" s="1"/>
  <c r="H108" i="8" s="1"/>
  <c r="E137" i="8"/>
  <c r="F137" i="8" s="1"/>
  <c r="G137" i="8" s="1"/>
  <c r="H137" i="8" s="1"/>
  <c r="I137" i="8" s="1"/>
  <c r="F64" i="8"/>
  <c r="E138" i="8"/>
  <c r="F138" i="8" s="1"/>
  <c r="G138" i="8" s="1"/>
  <c r="H138" i="8" s="1"/>
  <c r="I138" i="8" s="1"/>
  <c r="H102" i="8"/>
  <c r="L141" i="8" l="1"/>
  <c r="K142" i="8"/>
  <c r="J143" i="8"/>
  <c r="J144" i="8"/>
  <c r="L135" i="8"/>
  <c r="K136" i="8"/>
  <c r="J137" i="8"/>
  <c r="K137" i="8" s="1"/>
  <c r="J138" i="8"/>
  <c r="L129" i="8"/>
  <c r="K130" i="8"/>
  <c r="L123" i="8"/>
  <c r="K124" i="8"/>
  <c r="J125" i="8"/>
  <c r="K125" i="8" s="1"/>
  <c r="J126" i="8"/>
  <c r="L117" i="8"/>
  <c r="K118" i="8"/>
  <c r="K111" i="8"/>
  <c r="J112" i="8"/>
  <c r="J113" i="8" s="1"/>
  <c r="K105" i="8"/>
  <c r="J106" i="8"/>
  <c r="K99" i="8"/>
  <c r="J100" i="8"/>
  <c r="I101" i="8"/>
  <c r="J101" i="8" s="1"/>
  <c r="I102" i="8"/>
  <c r="K93" i="8"/>
  <c r="J94" i="8"/>
  <c r="I96" i="8"/>
  <c r="I95" i="8"/>
  <c r="J95" i="8" s="1"/>
  <c r="L19" i="8"/>
  <c r="K20" i="8"/>
  <c r="K21" i="8"/>
  <c r="J31" i="8"/>
  <c r="I32" i="8"/>
  <c r="I33" i="8"/>
  <c r="G51" i="3"/>
  <c r="C51" i="3"/>
  <c r="C68" i="3"/>
  <c r="G68" i="3"/>
  <c r="J7" i="8"/>
  <c r="I9" i="8"/>
  <c r="I8" i="8"/>
  <c r="I10" i="8" s="1"/>
  <c r="I13" i="8" s="1"/>
  <c r="B47" i="8"/>
  <c r="H14" i="8"/>
  <c r="I14" i="8" s="1"/>
  <c r="H15" i="8"/>
  <c r="I26" i="8"/>
  <c r="I27" i="8"/>
  <c r="J132" i="8"/>
  <c r="J22" i="8"/>
  <c r="J25" i="8" s="1"/>
  <c r="H34" i="8"/>
  <c r="H37" i="8" s="1"/>
  <c r="J120" i="8"/>
  <c r="I114" i="8"/>
  <c r="J119" i="8"/>
  <c r="K119" i="8" s="1"/>
  <c r="J131" i="8"/>
  <c r="K131" i="8" s="1"/>
  <c r="G39" i="8"/>
  <c r="G38" i="8"/>
  <c r="D47" i="8"/>
  <c r="B10" i="10" s="1"/>
  <c r="C10" i="10" s="1"/>
  <c r="M141" i="8" l="1"/>
  <c r="L142" i="8"/>
  <c r="K144" i="8"/>
  <c r="M135" i="8"/>
  <c r="L136" i="8"/>
  <c r="L137" i="8" s="1"/>
  <c r="K138" i="8"/>
  <c r="M129" i="8"/>
  <c r="L130" i="8"/>
  <c r="M123" i="8"/>
  <c r="L124" i="8"/>
  <c r="L125" i="8" s="1"/>
  <c r="K126" i="8"/>
  <c r="M117" i="8"/>
  <c r="L118" i="8"/>
  <c r="L119" i="8" s="1"/>
  <c r="L111" i="8"/>
  <c r="K112" i="8"/>
  <c r="K113" i="8" s="1"/>
  <c r="L105" i="8"/>
  <c r="K106" i="8"/>
  <c r="J107" i="8"/>
  <c r="K107" i="8" s="1"/>
  <c r="J108" i="8"/>
  <c r="L99" i="8"/>
  <c r="K100" i="8"/>
  <c r="K101" i="8" s="1"/>
  <c r="J102" i="8"/>
  <c r="L93" i="8"/>
  <c r="K94" i="8"/>
  <c r="K95" i="8" s="1"/>
  <c r="J96" i="8"/>
  <c r="M19" i="8"/>
  <c r="L20" i="8"/>
  <c r="L21" i="8"/>
  <c r="K31" i="8"/>
  <c r="J32" i="8"/>
  <c r="J33" i="8"/>
  <c r="C70" i="3"/>
  <c r="G70" i="3"/>
  <c r="K7" i="8"/>
  <c r="J9" i="8"/>
  <c r="J8" i="8"/>
  <c r="J10" i="8" s="1"/>
  <c r="J13" i="8" s="1"/>
  <c r="K120" i="8"/>
  <c r="J114" i="8"/>
  <c r="H39" i="8"/>
  <c r="K22" i="8"/>
  <c r="K25" i="8" s="1"/>
  <c r="I34" i="8"/>
  <c r="I37" i="8" s="1"/>
  <c r="J26" i="8"/>
  <c r="K26" i="8" s="1"/>
  <c r="J27" i="8"/>
  <c r="K143" i="8"/>
  <c r="L143" i="8" s="1"/>
  <c r="H38" i="8"/>
  <c r="I15" i="8"/>
  <c r="K132" i="8"/>
  <c r="N141" i="8" l="1"/>
  <c r="M142" i="8"/>
  <c r="N135" i="8"/>
  <c r="M136" i="8"/>
  <c r="M137" i="8" s="1"/>
  <c r="N129" i="8"/>
  <c r="M130" i="8"/>
  <c r="L131" i="8"/>
  <c r="M131" i="8" s="1"/>
  <c r="L132" i="8"/>
  <c r="N123" i="8"/>
  <c r="M124" i="8"/>
  <c r="N117" i="8"/>
  <c r="M118" i="8"/>
  <c r="M111" i="8"/>
  <c r="L112" i="8"/>
  <c r="M105" i="8"/>
  <c r="L106" i="8"/>
  <c r="L107" i="8" s="1"/>
  <c r="K108" i="8"/>
  <c r="M99" i="8"/>
  <c r="L100" i="8"/>
  <c r="M93" i="8"/>
  <c r="L94" i="8"/>
  <c r="N19" i="8"/>
  <c r="M20" i="8"/>
  <c r="M21" i="8"/>
  <c r="L31" i="8"/>
  <c r="K32" i="8"/>
  <c r="K34" i="8" s="1"/>
  <c r="K37" i="8" s="1"/>
  <c r="K33" i="8"/>
  <c r="G71" i="3"/>
  <c r="C37" i="3"/>
  <c r="L7" i="8"/>
  <c r="K9" i="8"/>
  <c r="K8" i="8"/>
  <c r="K10" i="8" s="1"/>
  <c r="K13" i="8" s="1"/>
  <c r="J15" i="8"/>
  <c r="J14" i="8"/>
  <c r="K27" i="8"/>
  <c r="L138" i="8"/>
  <c r="L22" i="8"/>
  <c r="L25" i="8" s="1"/>
  <c r="L26" i="8" s="1"/>
  <c r="I39" i="8"/>
  <c r="I38" i="8"/>
  <c r="J38" i="8" s="1"/>
  <c r="J34" i="8"/>
  <c r="J37" i="8" s="1"/>
  <c r="L144" i="8"/>
  <c r="L126" i="8"/>
  <c r="K102" i="8"/>
  <c r="K96" i="8"/>
  <c r="L120" i="8"/>
  <c r="K114" i="8"/>
  <c r="O141" i="8" l="1"/>
  <c r="N142" i="8"/>
  <c r="M144" i="8"/>
  <c r="M143" i="8"/>
  <c r="N143" i="8" s="1"/>
  <c r="O135" i="8"/>
  <c r="N136" i="8"/>
  <c r="N137" i="8" s="1"/>
  <c r="O129" i="8"/>
  <c r="N130" i="8"/>
  <c r="N131" i="8" s="1"/>
  <c r="M132" i="8"/>
  <c r="O123" i="8"/>
  <c r="N124" i="8"/>
  <c r="M126" i="8"/>
  <c r="M125" i="8"/>
  <c r="N125" i="8" s="1"/>
  <c r="O117" i="8"/>
  <c r="N118" i="8"/>
  <c r="M120" i="8"/>
  <c r="M119" i="8"/>
  <c r="N119" i="8" s="1"/>
  <c r="N111" i="8"/>
  <c r="M112" i="8"/>
  <c r="L114" i="8"/>
  <c r="L113" i="8"/>
  <c r="M113" i="8" s="1"/>
  <c r="N105" i="8"/>
  <c r="M106" i="8"/>
  <c r="N99" i="8"/>
  <c r="M100" i="8"/>
  <c r="L102" i="8"/>
  <c r="L101" i="8"/>
  <c r="M101" i="8" s="1"/>
  <c r="N93" i="8"/>
  <c r="M94" i="8"/>
  <c r="L96" i="8"/>
  <c r="L95" i="8"/>
  <c r="M95" i="8" s="1"/>
  <c r="O19" i="8"/>
  <c r="N20" i="8"/>
  <c r="N21" i="8"/>
  <c r="M31" i="8"/>
  <c r="L32" i="8"/>
  <c r="L33" i="8"/>
  <c r="C41" i="3"/>
  <c r="M7" i="8"/>
  <c r="L9" i="8"/>
  <c r="L8" i="8"/>
  <c r="L10" i="8" s="1"/>
  <c r="L13" i="8" s="1"/>
  <c r="K15" i="8"/>
  <c r="M138" i="8"/>
  <c r="J39" i="8"/>
  <c r="M22" i="8"/>
  <c r="M25" i="8" s="1"/>
  <c r="K38" i="8"/>
  <c r="K14" i="8"/>
  <c r="L108" i="8"/>
  <c r="L27" i="8"/>
  <c r="P141" i="8" l="1"/>
  <c r="O142" i="8"/>
  <c r="O143" i="8" s="1"/>
  <c r="N144" i="8"/>
  <c r="P135" i="8"/>
  <c r="O136" i="8"/>
  <c r="O137" i="8" s="1"/>
  <c r="P129" i="8"/>
  <c r="O130" i="8"/>
  <c r="P123" i="8"/>
  <c r="O124" i="8"/>
  <c r="O125" i="8" s="1"/>
  <c r="N126" i="8"/>
  <c r="P117" i="8"/>
  <c r="O118" i="8"/>
  <c r="O119" i="8" s="1"/>
  <c r="N120" i="8"/>
  <c r="O111" i="8"/>
  <c r="N112" i="8"/>
  <c r="N113" i="8" s="1"/>
  <c r="M114" i="8"/>
  <c r="O105" i="8"/>
  <c r="N106" i="8"/>
  <c r="M108" i="8"/>
  <c r="M107" i="8"/>
  <c r="N107" i="8" s="1"/>
  <c r="O99" i="8"/>
  <c r="N100" i="8"/>
  <c r="N101" i="8" s="1"/>
  <c r="M102" i="8"/>
  <c r="O93" i="8"/>
  <c r="N94" i="8"/>
  <c r="N95" i="8" s="1"/>
  <c r="M96" i="8"/>
  <c r="N96" i="8" s="1"/>
  <c r="P19" i="8"/>
  <c r="O20" i="8"/>
  <c r="O21" i="8"/>
  <c r="N31" i="8"/>
  <c r="M32" i="8"/>
  <c r="M33" i="8"/>
  <c r="N7" i="8"/>
  <c r="M8" i="8"/>
  <c r="M9" i="8"/>
  <c r="M27" i="8"/>
  <c r="M26" i="8"/>
  <c r="N26" i="8" s="1"/>
  <c r="L34" i="8"/>
  <c r="L37" i="8" s="1"/>
  <c r="N22" i="8"/>
  <c r="N25" i="8" s="1"/>
  <c r="N138" i="8"/>
  <c r="L14" i="8"/>
  <c r="N132" i="8"/>
  <c r="G52" i="3"/>
  <c r="G41" i="3"/>
  <c r="L15" i="8"/>
  <c r="K39" i="8"/>
  <c r="Q141" i="8" l="1"/>
  <c r="P142" i="8"/>
  <c r="Q135" i="8"/>
  <c r="P136" i="8"/>
  <c r="P137" i="8" s="1"/>
  <c r="Q129" i="8"/>
  <c r="P130" i="8"/>
  <c r="O132" i="8"/>
  <c r="O131" i="8"/>
  <c r="P131" i="8" s="1"/>
  <c r="Q123" i="8"/>
  <c r="P124" i="8"/>
  <c r="Q117" i="8"/>
  <c r="P118" i="8"/>
  <c r="P119" i="8" s="1"/>
  <c r="P111" i="8"/>
  <c r="O112" i="8"/>
  <c r="P105" i="8"/>
  <c r="O106" i="8"/>
  <c r="O107" i="8" s="1"/>
  <c r="N108" i="8"/>
  <c r="P99" i="8"/>
  <c r="O100" i="8"/>
  <c r="P93" i="8"/>
  <c r="O94" i="8"/>
  <c r="Q19" i="8"/>
  <c r="P20" i="8"/>
  <c r="P21" i="8"/>
  <c r="O31" i="8"/>
  <c r="N32" i="8"/>
  <c r="N33" i="8"/>
  <c r="O7" i="8"/>
  <c r="N8" i="8"/>
  <c r="N9" i="8"/>
  <c r="N27" i="8"/>
  <c r="L38" i="8"/>
  <c r="M38" i="8" s="1"/>
  <c r="L39" i="8"/>
  <c r="O138" i="8"/>
  <c r="O120" i="8"/>
  <c r="O22" i="8"/>
  <c r="O25" i="8" s="1"/>
  <c r="O26" i="8" s="1"/>
  <c r="M34" i="8"/>
  <c r="M37" i="8" s="1"/>
  <c r="M10" i="8"/>
  <c r="M13" i="8" s="1"/>
  <c r="O144" i="8"/>
  <c r="O126" i="8"/>
  <c r="N114" i="8"/>
  <c r="N102" i="8"/>
  <c r="R141" i="8" l="1"/>
  <c r="Q142" i="8"/>
  <c r="P144" i="8"/>
  <c r="P143" i="8"/>
  <c r="Q143" i="8" s="1"/>
  <c r="R135" i="8"/>
  <c r="Q136" i="8"/>
  <c r="Q137" i="8" s="1"/>
  <c r="R129" i="8"/>
  <c r="Q130" i="8"/>
  <c r="Q131" i="8" s="1"/>
  <c r="P132" i="8"/>
  <c r="R123" i="8"/>
  <c r="Q124" i="8"/>
  <c r="P126" i="8"/>
  <c r="P125" i="8"/>
  <c r="Q125" i="8" s="1"/>
  <c r="R117" i="8"/>
  <c r="Q118" i="8"/>
  <c r="Q119" i="8" s="1"/>
  <c r="Q111" i="8"/>
  <c r="P112" i="8"/>
  <c r="O113" i="8"/>
  <c r="P113" i="8" s="1"/>
  <c r="O114" i="8"/>
  <c r="Q105" i="8"/>
  <c r="P106" i="8"/>
  <c r="Q99" i="8"/>
  <c r="P100" i="8"/>
  <c r="O102" i="8"/>
  <c r="O101" i="8"/>
  <c r="P101" i="8" s="1"/>
  <c r="Q93" i="8"/>
  <c r="P94" i="8"/>
  <c r="O96" i="8"/>
  <c r="O95" i="8"/>
  <c r="P95" i="8" s="1"/>
  <c r="R19" i="8"/>
  <c r="Q20" i="8"/>
  <c r="Q21" i="8"/>
  <c r="P31" i="8"/>
  <c r="O32" i="8"/>
  <c r="O33" i="8"/>
  <c r="P7" i="8"/>
  <c r="O8" i="8"/>
  <c r="O9" i="8"/>
  <c r="M39" i="8"/>
  <c r="P120" i="8"/>
  <c r="M14" i="8"/>
  <c r="M15" i="8"/>
  <c r="P22" i="8"/>
  <c r="P25" i="8" s="1"/>
  <c r="N34" i="8"/>
  <c r="N37" i="8" s="1"/>
  <c r="N38" i="8" s="1"/>
  <c r="N10" i="8"/>
  <c r="N13" i="8" s="1"/>
  <c r="P138" i="8"/>
  <c r="O108" i="8"/>
  <c r="O27" i="8"/>
  <c r="S141" i="8" l="1"/>
  <c r="R142" i="8"/>
  <c r="R143" i="8" s="1"/>
  <c r="Q144" i="8"/>
  <c r="S135" i="8"/>
  <c r="R136" i="8"/>
  <c r="R137" i="8" s="1"/>
  <c r="S129" i="8"/>
  <c r="R130" i="8"/>
  <c r="S123" i="8"/>
  <c r="R124" i="8"/>
  <c r="R125" i="8" s="1"/>
  <c r="Q126" i="8"/>
  <c r="S117" i="8"/>
  <c r="R118" i="8"/>
  <c r="R111" i="8"/>
  <c r="Q112" i="8"/>
  <c r="Q113" i="8" s="1"/>
  <c r="P114" i="8"/>
  <c r="R105" i="8"/>
  <c r="Q106" i="8"/>
  <c r="P108" i="8"/>
  <c r="P107" i="8"/>
  <c r="Q107" i="8" s="1"/>
  <c r="R99" i="8"/>
  <c r="Q100" i="8"/>
  <c r="Q101" i="8" s="1"/>
  <c r="P102" i="8"/>
  <c r="R93" i="8"/>
  <c r="Q94" i="8"/>
  <c r="Q95" i="8" s="1"/>
  <c r="P96" i="8"/>
  <c r="S19" i="8"/>
  <c r="R20" i="8"/>
  <c r="R21" i="8"/>
  <c r="Q31" i="8"/>
  <c r="P32" i="8"/>
  <c r="P33" i="8"/>
  <c r="Q7" i="8"/>
  <c r="P8" i="8"/>
  <c r="P9" i="8"/>
  <c r="N15" i="8"/>
  <c r="P27" i="8"/>
  <c r="P26" i="8"/>
  <c r="Q138" i="8"/>
  <c r="R138" i="8" s="1"/>
  <c r="N14" i="8"/>
  <c r="N39" i="8"/>
  <c r="Q22" i="8"/>
  <c r="Q25" i="8" s="1"/>
  <c r="O34" i="8"/>
  <c r="O37" i="8" s="1"/>
  <c r="O38" i="8" s="1"/>
  <c r="O10" i="8"/>
  <c r="O13" i="8" s="1"/>
  <c r="Q132" i="8"/>
  <c r="Q120" i="8"/>
  <c r="T141" i="8" l="1"/>
  <c r="S142" i="8"/>
  <c r="T135" i="8"/>
  <c r="S136" i="8"/>
  <c r="T129" i="8"/>
  <c r="S130" i="8"/>
  <c r="R132" i="8"/>
  <c r="R131" i="8"/>
  <c r="S131" i="8" s="1"/>
  <c r="T123" i="8"/>
  <c r="S124" i="8"/>
  <c r="S125" i="8" s="1"/>
  <c r="T117" i="8"/>
  <c r="S118" i="8"/>
  <c r="R120" i="8"/>
  <c r="R119" i="8"/>
  <c r="S119" i="8" s="1"/>
  <c r="S111" i="8"/>
  <c r="R112" i="8"/>
  <c r="S105" i="8"/>
  <c r="R106" i="8"/>
  <c r="R107" i="8" s="1"/>
  <c r="Q108" i="8"/>
  <c r="S99" i="8"/>
  <c r="R100" i="8"/>
  <c r="S93" i="8"/>
  <c r="R94" i="8"/>
  <c r="T19" i="8"/>
  <c r="S20" i="8"/>
  <c r="S21" i="8"/>
  <c r="R31" i="8"/>
  <c r="Q32" i="8"/>
  <c r="Q34" i="8" s="1"/>
  <c r="Q37" i="8" s="1"/>
  <c r="Q33" i="8"/>
  <c r="R7" i="8"/>
  <c r="Q8" i="8"/>
  <c r="Q10" i="8" s="1"/>
  <c r="Q13" i="8" s="1"/>
  <c r="Q9" i="8"/>
  <c r="Q27" i="8"/>
  <c r="O39" i="8"/>
  <c r="R126" i="8"/>
  <c r="Q26" i="8"/>
  <c r="O14" i="8"/>
  <c r="P10" i="8"/>
  <c r="P13" i="8" s="1"/>
  <c r="O15" i="8"/>
  <c r="R22" i="8"/>
  <c r="R25" i="8" s="1"/>
  <c r="P34" i="8"/>
  <c r="P37" i="8" s="1"/>
  <c r="P38" i="8" s="1"/>
  <c r="R144" i="8"/>
  <c r="Q114" i="8"/>
  <c r="Q102" i="8"/>
  <c r="Q96" i="8"/>
  <c r="U141" i="8" l="1"/>
  <c r="T142" i="8"/>
  <c r="S144" i="8"/>
  <c r="S143" i="8"/>
  <c r="T143" i="8" s="1"/>
  <c r="U135" i="8"/>
  <c r="T136" i="8"/>
  <c r="S138" i="8"/>
  <c r="S137" i="8"/>
  <c r="T137" i="8" s="1"/>
  <c r="U129" i="8"/>
  <c r="T130" i="8"/>
  <c r="T131" i="8" s="1"/>
  <c r="S132" i="8"/>
  <c r="U123" i="8"/>
  <c r="T124" i="8"/>
  <c r="T125" i="8" s="1"/>
  <c r="U117" i="8"/>
  <c r="T118" i="8"/>
  <c r="T119" i="8" s="1"/>
  <c r="S120" i="8"/>
  <c r="T111" i="8"/>
  <c r="S112" i="8"/>
  <c r="R114" i="8"/>
  <c r="R113" i="8"/>
  <c r="S113" i="8" s="1"/>
  <c r="T105" i="8"/>
  <c r="S106" i="8"/>
  <c r="T99" i="8"/>
  <c r="S100" i="8"/>
  <c r="R101" i="8"/>
  <c r="S101" i="8" s="1"/>
  <c r="R102" i="8"/>
  <c r="T93" i="8"/>
  <c r="S94" i="8"/>
  <c r="R96" i="8"/>
  <c r="R95" i="8"/>
  <c r="S95" i="8" s="1"/>
  <c r="U19" i="8"/>
  <c r="T20" i="8"/>
  <c r="T21" i="8"/>
  <c r="S31" i="8"/>
  <c r="R32" i="8"/>
  <c r="R33" i="8"/>
  <c r="S7" i="8"/>
  <c r="R8" i="8"/>
  <c r="R9" i="8"/>
  <c r="S126" i="8"/>
  <c r="P15" i="8"/>
  <c r="S22" i="8"/>
  <c r="S25" i="8" s="1"/>
  <c r="R27" i="8"/>
  <c r="P39" i="8"/>
  <c r="R26" i="8"/>
  <c r="S26" i="8" s="1"/>
  <c r="P14" i="8"/>
  <c r="Q14" i="8" s="1"/>
  <c r="Q38" i="8"/>
  <c r="R108" i="8"/>
  <c r="V141" i="8" l="1"/>
  <c r="U142" i="8"/>
  <c r="U143" i="8" s="1"/>
  <c r="T144" i="8"/>
  <c r="V135" i="8"/>
  <c r="U136" i="8"/>
  <c r="U137" i="8" s="1"/>
  <c r="T138" i="8"/>
  <c r="V129" i="8"/>
  <c r="U130" i="8"/>
  <c r="V123" i="8"/>
  <c r="U124" i="8"/>
  <c r="V117" i="8"/>
  <c r="U118" i="8"/>
  <c r="U111" i="8"/>
  <c r="T112" i="8"/>
  <c r="T113" i="8" s="1"/>
  <c r="S114" i="8"/>
  <c r="U105" i="8"/>
  <c r="T106" i="8"/>
  <c r="S108" i="8"/>
  <c r="S107" i="8"/>
  <c r="T107" i="8" s="1"/>
  <c r="U99" i="8"/>
  <c r="T100" i="8"/>
  <c r="T101" i="8" s="1"/>
  <c r="S102" i="8"/>
  <c r="T102" i="8" s="1"/>
  <c r="U93" i="8"/>
  <c r="T94" i="8"/>
  <c r="T95" i="8" s="1"/>
  <c r="S96" i="8"/>
  <c r="V19" i="8"/>
  <c r="U20" i="8"/>
  <c r="U21" i="8"/>
  <c r="T31" i="8"/>
  <c r="S32" i="8"/>
  <c r="S33" i="8"/>
  <c r="S8" i="8"/>
  <c r="S9" i="8"/>
  <c r="T7" i="8"/>
  <c r="S27" i="8"/>
  <c r="Q39" i="8"/>
  <c r="T22" i="8"/>
  <c r="T25" i="8" s="1"/>
  <c r="T26" i="8" s="1"/>
  <c r="R34" i="8"/>
  <c r="R37" i="8" s="1"/>
  <c r="R38" i="8" s="1"/>
  <c r="R10" i="8"/>
  <c r="R13" i="8" s="1"/>
  <c r="T132" i="8"/>
  <c r="T120" i="8"/>
  <c r="T126" i="8"/>
  <c r="Q15" i="8"/>
  <c r="W141" i="8" l="1"/>
  <c r="V142" i="8"/>
  <c r="W135" i="8"/>
  <c r="V136" i="8"/>
  <c r="W129" i="8"/>
  <c r="V130" i="8"/>
  <c r="U132" i="8"/>
  <c r="U131" i="8"/>
  <c r="V131" i="8" s="1"/>
  <c r="W123" i="8"/>
  <c r="V124" i="8"/>
  <c r="U126" i="8"/>
  <c r="U125" i="8"/>
  <c r="V125" i="8" s="1"/>
  <c r="W117" i="8"/>
  <c r="V118" i="8"/>
  <c r="U120" i="8"/>
  <c r="U119" i="8"/>
  <c r="V119" i="8" s="1"/>
  <c r="V111" i="8"/>
  <c r="U112" i="8"/>
  <c r="V105" i="8"/>
  <c r="U106" i="8"/>
  <c r="U107" i="8" s="1"/>
  <c r="T108" i="8"/>
  <c r="V99" i="8"/>
  <c r="U100" i="8"/>
  <c r="V93" i="8"/>
  <c r="U94" i="8"/>
  <c r="W19" i="8"/>
  <c r="V20" i="8"/>
  <c r="V21" i="8"/>
  <c r="U31" i="8"/>
  <c r="T32" i="8"/>
  <c r="T34" i="8" s="1"/>
  <c r="T37" i="8" s="1"/>
  <c r="T33" i="8"/>
  <c r="U7" i="8"/>
  <c r="T8" i="8"/>
  <c r="T10" i="8" s="1"/>
  <c r="T13" i="8" s="1"/>
  <c r="T9" i="8"/>
  <c r="R14" i="8"/>
  <c r="R15" i="8"/>
  <c r="U22" i="8"/>
  <c r="U25" i="8" s="1"/>
  <c r="U26" i="8" s="1"/>
  <c r="S34" i="8"/>
  <c r="S37" i="8" s="1"/>
  <c r="S38" i="8" s="1"/>
  <c r="S10" i="8"/>
  <c r="S13" i="8" s="1"/>
  <c r="T27" i="8"/>
  <c r="R39" i="8"/>
  <c r="U144" i="8"/>
  <c r="U138" i="8"/>
  <c r="T114" i="8"/>
  <c r="T96" i="8"/>
  <c r="X141" i="8" l="1"/>
  <c r="W142" i="8"/>
  <c r="V144" i="8"/>
  <c r="V143" i="8"/>
  <c r="W143" i="8" s="1"/>
  <c r="X135" i="8"/>
  <c r="W136" i="8"/>
  <c r="V138" i="8"/>
  <c r="V137" i="8"/>
  <c r="W137" i="8" s="1"/>
  <c r="X129" i="8"/>
  <c r="W130" i="8"/>
  <c r="W131" i="8" s="1"/>
  <c r="V132" i="8"/>
  <c r="X123" i="8"/>
  <c r="W124" i="8"/>
  <c r="W125" i="8" s="1"/>
  <c r="V126" i="8"/>
  <c r="X117" i="8"/>
  <c r="W118" i="8"/>
  <c r="W119" i="8" s="1"/>
  <c r="V120" i="8"/>
  <c r="W120" i="8" s="1"/>
  <c r="W111" i="8"/>
  <c r="V112" i="8"/>
  <c r="U114" i="8"/>
  <c r="U113" i="8"/>
  <c r="V113" i="8" s="1"/>
  <c r="W105" i="8"/>
  <c r="V106" i="8"/>
  <c r="W99" i="8"/>
  <c r="V100" i="8"/>
  <c r="U102" i="8"/>
  <c r="U101" i="8"/>
  <c r="V101" i="8" s="1"/>
  <c r="W93" i="8"/>
  <c r="V94" i="8"/>
  <c r="U96" i="8"/>
  <c r="U95" i="8"/>
  <c r="X19" i="8"/>
  <c r="W20" i="8"/>
  <c r="W21" i="8"/>
  <c r="V31" i="8"/>
  <c r="U32" i="8"/>
  <c r="U33" i="8"/>
  <c r="V7" i="8"/>
  <c r="U8" i="8"/>
  <c r="U9" i="8"/>
  <c r="S15" i="8"/>
  <c r="U27" i="8"/>
  <c r="S39" i="8"/>
  <c r="S14" i="8"/>
  <c r="T14" i="8" s="1"/>
  <c r="T38" i="8"/>
  <c r="V22" i="8"/>
  <c r="V25" i="8" s="1"/>
  <c r="V26" i="8" s="1"/>
  <c r="U108" i="8"/>
  <c r="Y141" i="8" l="1"/>
  <c r="X142" i="8"/>
  <c r="X143" i="8" s="1"/>
  <c r="W144" i="8"/>
  <c r="Y135" i="8"/>
  <c r="X136" i="8"/>
  <c r="X137" i="8" s="1"/>
  <c r="W138" i="8"/>
  <c r="Y129" i="8"/>
  <c r="X130" i="8"/>
  <c r="Y123" i="8"/>
  <c r="X124" i="8"/>
  <c r="Y117" i="8"/>
  <c r="X118" i="8"/>
  <c r="X111" i="8"/>
  <c r="W112" i="8"/>
  <c r="W113" i="8" s="1"/>
  <c r="V114" i="8"/>
  <c r="X105" i="8"/>
  <c r="W106" i="8"/>
  <c r="V108" i="8"/>
  <c r="V107" i="8"/>
  <c r="W107" i="8" s="1"/>
  <c r="X99" i="8"/>
  <c r="W100" i="8"/>
  <c r="W101" i="8" s="1"/>
  <c r="V102" i="8"/>
  <c r="X93" i="8"/>
  <c r="W94" i="8"/>
  <c r="V96" i="8"/>
  <c r="Y19" i="8"/>
  <c r="X20" i="8"/>
  <c r="X21" i="8"/>
  <c r="W31" i="8"/>
  <c r="V32" i="8"/>
  <c r="V33" i="8"/>
  <c r="W7" i="8"/>
  <c r="V8" i="8"/>
  <c r="V9" i="8"/>
  <c r="V95" i="8"/>
  <c r="W95" i="8" s="1"/>
  <c r="W22" i="8"/>
  <c r="W25" i="8" s="1"/>
  <c r="U34" i="8"/>
  <c r="U37" i="8" s="1"/>
  <c r="U10" i="8"/>
  <c r="U13" i="8" s="1"/>
  <c r="W132" i="8"/>
  <c r="W126" i="8"/>
  <c r="T15" i="8"/>
  <c r="V27" i="8"/>
  <c r="T39" i="8"/>
  <c r="Z141" i="8" l="1"/>
  <c r="Z142" i="8" s="1"/>
  <c r="Y142" i="8"/>
  <c r="Z135" i="8"/>
  <c r="Z136" i="8" s="1"/>
  <c r="Y136" i="8"/>
  <c r="Z129" i="8"/>
  <c r="Z130" i="8" s="1"/>
  <c r="D63" i="8" s="1"/>
  <c r="Y130" i="8"/>
  <c r="X132" i="8"/>
  <c r="X131" i="8"/>
  <c r="Y131" i="8" s="1"/>
  <c r="Z123" i="8"/>
  <c r="Z124" i="8" s="1"/>
  <c r="Y124" i="8"/>
  <c r="X126" i="8"/>
  <c r="X125" i="8"/>
  <c r="Y125" i="8" s="1"/>
  <c r="Z125" i="8" s="1"/>
  <c r="Z117" i="8"/>
  <c r="Z118" i="8" s="1"/>
  <c r="Y118" i="8"/>
  <c r="X119" i="8"/>
  <c r="Y119" i="8" s="1"/>
  <c r="Z119" i="8" s="1"/>
  <c r="X120" i="8"/>
  <c r="Y111" i="8"/>
  <c r="X112" i="8"/>
  <c r="Y105" i="8"/>
  <c r="X106" i="8"/>
  <c r="X107" i="8" s="1"/>
  <c r="W108" i="8"/>
  <c r="Y99" i="8"/>
  <c r="X100" i="8"/>
  <c r="X101" i="8" s="1"/>
  <c r="Y93" i="8"/>
  <c r="X94" i="8"/>
  <c r="Z19" i="8"/>
  <c r="Y20" i="8"/>
  <c r="Y21" i="8"/>
  <c r="X31" i="8"/>
  <c r="W32" i="8"/>
  <c r="W33" i="8"/>
  <c r="X7" i="8"/>
  <c r="W8" i="8"/>
  <c r="W9" i="8"/>
  <c r="W27" i="8"/>
  <c r="W26" i="8"/>
  <c r="X26" i="8" s="1"/>
  <c r="U39" i="8"/>
  <c r="U38" i="8"/>
  <c r="V38" i="8" s="1"/>
  <c r="U15" i="8"/>
  <c r="U14" i="8"/>
  <c r="V14" i="8" s="1"/>
  <c r="W102" i="8"/>
  <c r="X22" i="8"/>
  <c r="X25" i="8" s="1"/>
  <c r="V34" i="8"/>
  <c r="V37" i="8" s="1"/>
  <c r="V10" i="8"/>
  <c r="V13" i="8" s="1"/>
  <c r="X144" i="8"/>
  <c r="X138" i="8"/>
  <c r="W114" i="8"/>
  <c r="W96" i="8"/>
  <c r="Y144" i="8" l="1"/>
  <c r="Y143" i="8"/>
  <c r="Z143" i="8" s="1"/>
  <c r="Y138" i="8"/>
  <c r="Y137" i="8"/>
  <c r="Z137" i="8" s="1"/>
  <c r="Y132" i="8"/>
  <c r="Y126" i="8"/>
  <c r="Y120" i="8"/>
  <c r="Z111" i="8"/>
  <c r="Z112" i="8" s="1"/>
  <c r="Y112" i="8"/>
  <c r="X114" i="8"/>
  <c r="X113" i="8"/>
  <c r="Y113" i="8" s="1"/>
  <c r="Z113" i="8" s="1"/>
  <c r="Z105" i="8"/>
  <c r="Z106" i="8" s="1"/>
  <c r="D59" i="8" s="1"/>
  <c r="Y106" i="8"/>
  <c r="Z99" i="8"/>
  <c r="Z100" i="8" s="1"/>
  <c r="Y100" i="8"/>
  <c r="Y101" i="8" s="1"/>
  <c r="Z101" i="8" s="1"/>
  <c r="Z93" i="8"/>
  <c r="Z94" i="8" s="1"/>
  <c r="D57" i="8" s="1"/>
  <c r="E63" i="8" s="1"/>
  <c r="Y94" i="8"/>
  <c r="X95" i="8"/>
  <c r="Y95" i="8" s="1"/>
  <c r="Z95" i="8" s="1"/>
  <c r="X96" i="8"/>
  <c r="Z20" i="8"/>
  <c r="Z21" i="8"/>
  <c r="C49" i="8"/>
  <c r="Y31" i="8"/>
  <c r="X32" i="8"/>
  <c r="X34" i="8" s="1"/>
  <c r="X37" i="8" s="1"/>
  <c r="X33" i="8"/>
  <c r="Y7" i="8"/>
  <c r="X8" i="8"/>
  <c r="X9" i="8"/>
  <c r="X27" i="8"/>
  <c r="V39" i="8"/>
  <c r="V15" i="8"/>
  <c r="X102" i="8"/>
  <c r="D68" i="8"/>
  <c r="E68" i="8" s="1"/>
  <c r="D64" i="8"/>
  <c r="Z131" i="8"/>
  <c r="D62" i="8"/>
  <c r="D61" i="8"/>
  <c r="Y22" i="8"/>
  <c r="Y25" i="8" s="1"/>
  <c r="Y26" i="8" s="1"/>
  <c r="W34" i="8"/>
  <c r="W37" i="8" s="1"/>
  <c r="W38" i="8" s="1"/>
  <c r="W10" i="8"/>
  <c r="W13" i="8" s="1"/>
  <c r="W14" i="8" s="1"/>
  <c r="X108" i="8"/>
  <c r="Z144" i="8" l="1"/>
  <c r="G68" i="8" s="1"/>
  <c r="Z138" i="8"/>
  <c r="G64" i="8" s="1"/>
  <c r="Y114" i="8"/>
  <c r="E59" i="8"/>
  <c r="H59" i="8"/>
  <c r="Y107" i="8"/>
  <c r="Z107" i="8" s="1"/>
  <c r="Y108" i="8"/>
  <c r="C75" i="8"/>
  <c r="D75" i="8" s="1"/>
  <c r="C74" i="8"/>
  <c r="C76" i="8"/>
  <c r="D76" i="8" s="1"/>
  <c r="C72" i="8"/>
  <c r="C73" i="8"/>
  <c r="D73" i="8" s="1"/>
  <c r="Y96" i="8"/>
  <c r="Z96" i="8" s="1"/>
  <c r="G57" i="8" s="1"/>
  <c r="Z22" i="8"/>
  <c r="Z25" i="8" s="1"/>
  <c r="C50" i="8"/>
  <c r="Z31" i="8"/>
  <c r="Y32" i="8"/>
  <c r="Y34" i="8" s="1"/>
  <c r="Y37" i="8" s="1"/>
  <c r="Y33" i="8"/>
  <c r="Z7" i="8"/>
  <c r="Y8" i="8"/>
  <c r="Y10" i="8" s="1"/>
  <c r="Y13" i="8" s="1"/>
  <c r="Y9" i="8"/>
  <c r="H64" i="8"/>
  <c r="E64" i="8"/>
  <c r="H62" i="8"/>
  <c r="E62" i="8"/>
  <c r="E61" i="8"/>
  <c r="D58" i="8"/>
  <c r="H61" i="8" s="1"/>
  <c r="D60" i="8"/>
  <c r="X10" i="8"/>
  <c r="X13" i="8" s="1"/>
  <c r="X39" i="8"/>
  <c r="X38" i="8"/>
  <c r="Z132" i="8"/>
  <c r="G63" i="8"/>
  <c r="Z126" i="8"/>
  <c r="G62" i="8"/>
  <c r="Z120" i="8"/>
  <c r="G61" i="8"/>
  <c r="Y27" i="8"/>
  <c r="W39" i="8"/>
  <c r="W15" i="8"/>
  <c r="B48" i="8"/>
  <c r="Y102" i="8"/>
  <c r="Z102" i="8" s="1"/>
  <c r="G58" i="8"/>
  <c r="Z108" i="8" l="1"/>
  <c r="G59" i="8" s="1"/>
  <c r="D74" i="8"/>
  <c r="E74" i="8"/>
  <c r="D72" i="8"/>
  <c r="C77" i="8"/>
  <c r="D77" i="8" s="1"/>
  <c r="Z26" i="8"/>
  <c r="C46" i="8" s="1"/>
  <c r="Z27" i="8"/>
  <c r="C48" i="8" s="1"/>
  <c r="C45" i="8"/>
  <c r="C44" i="8"/>
  <c r="B11" i="10" s="1"/>
  <c r="C11" i="10" s="1"/>
  <c r="Z32" i="8"/>
  <c r="Z33" i="8"/>
  <c r="D49" i="8"/>
  <c r="B49" i="8"/>
  <c r="Z8" i="8"/>
  <c r="Z9" i="8"/>
  <c r="B66" i="8"/>
  <c r="B12" i="10" s="1"/>
  <c r="C12" i="10" s="1"/>
  <c r="H58" i="8"/>
  <c r="E58" i="8"/>
  <c r="H63" i="8"/>
  <c r="H60" i="8"/>
  <c r="E60" i="8"/>
  <c r="X14" i="8"/>
  <c r="Y14" i="8" s="1"/>
  <c r="X15" i="8"/>
  <c r="Y15" i="8" s="1"/>
  <c r="Y39" i="8"/>
  <c r="Y38" i="8"/>
  <c r="Z114" i="8"/>
  <c r="G60" i="8"/>
  <c r="Z34" i="8" l="1"/>
  <c r="Z37" i="8" s="1"/>
  <c r="D50" i="8"/>
  <c r="Z10" i="8"/>
  <c r="Z13" i="8" s="1"/>
  <c r="B50" i="8"/>
  <c r="D48" i="8"/>
  <c r="Z39" i="8"/>
  <c r="Z38" i="8" l="1"/>
  <c r="D46" i="8" s="1"/>
  <c r="D44" i="8"/>
  <c r="D45" i="8"/>
  <c r="Z15" i="8"/>
  <c r="Z14" i="8"/>
  <c r="B46" i="8" s="1"/>
  <c r="B44" i="8"/>
  <c r="B45" i="8"/>
</calcChain>
</file>

<file path=xl/sharedStrings.xml><?xml version="1.0" encoding="utf-8"?>
<sst xmlns="http://schemas.openxmlformats.org/spreadsheetml/2006/main" count="785" uniqueCount="673">
  <si>
    <t>CS9 · Kinh tế sản phẩm AI: chi phí, định giá, hiệu quả đầu tư — File thực hành</t>
  </si>
  <si>
    <t>AI in Action · Track 1 · Khóa 4. FILE LÀM BÀI CỦA NHÓM. Nhóm chưa có dự án chung: chọn 1 trong 3 đề bài giả định (file CS9_DeBai_GiaDinh.pdf). Ví dụ cách điền: bản mẫu "trợ lý AI trả lời tin nhắn Zalo cho cửa hàng nhỏ" ở cột Gợi ý (trang 1, 3, 6), bảng cách nhập ở trang 2, và trong file CS9_HuongDan_HocVien.pdf.</t>
  </si>
  <si>
    <t>Ô tự kiểm tra: "Đạt" là ổn. "Xem lại", "Chưa đủ sốc" là câu hỏi để nhóm soát: sửa nếu nhập sai; nếu số đúng thì giữ nguyên và giải thích ở trang 7. Không chỉnh giả định chỉ để được "Đạt".</t>
  </si>
  <si>
    <t>Luật chơi: CHỈ điền vào ô màu VÀNG (một số ô vàng có sẵn số mặc định, sửa được). Ô màu XANH LÁ NHẠT là công thức, đã khóa. Cột "Gợi ý" chữ xám (trang 1, 3, 6) chỉ cách lấy số và giá trị của bản mẫu, không cần điền.</t>
  </si>
  <si>
    <t>Thứ tự và thời gian: Nhiệm vụ 0 · trang 0 (5 phút) → Phần A · trang A: Bài 1 (10 phút), rồi Bài 2, Bài 3 và câu 1–3 (14 phút) → Nhiệm vụ 1 · trang 1 (15 phút) → Nhiệm vụ 2 · trang 2 (15 phút) → Nhiệm vụ 3 · trang 3, 4, 5 (26 phút) → Nhiệm vụ 4 · trang 6 (chỉ khi sản phẩm phục vụ chính công ty) và trang 7 (23 phút), rồi nộp file. Hết giờ mà chưa xong: để nguyên, sang việc kế tiếp, cuối giờ quay lại.</t>
  </si>
  <si>
    <t>Mỗi con số phải có NGUỒN hoặc LÝ DO ở cột "Nguồn / lý do". Gắn nhãn như Ngày 23: [NGÀNH] số chuẩn ngành, có đường dẫn · [TỰ TÍNH] tính từ mô hình · [TỰ ĐO] nhóm tự đo. Số chưa có nguồn, chưa đo: ghi "Giả định: … vì … · sẽ đo bằng …". Không gắn [NGÀNH] khi không chỉ ra được nguồn. Không nguồn, không lý do = bị trừ điểm.</t>
  </si>
  <si>
    <t>Giá token: tra bảng giá chính thức của nhà cung cấp vào ngày làm bài, ghi tên mô hình và ngày tra. Tỷ giá: ghi nguồn và ngày. Trang 9 có sẵn một số số liệu đã kiểm chứng.</t>
  </si>
  <si>
    <t>Kịch bản xấu phải là cú sốc thật: tỷ lệ rời bỏ và chi phí có một khách tối thiểu gấp 1,5 lần kịch bản cơ sở (trang 3 tự kiểm tra).</t>
  </si>
  <si>
    <t>Ngưỡng tham khảo (không phải luật): giá mỗi việc ≥ 3 × chi phí mỗi việc · biên lợi nhuận gộp bình quân ≥ 60% · LTV ÷ CAC &gt; 3 · hoàn vốn chi phí có khách &lt; 12 tháng · kịch bản xấu còn tiền ≥ 12 tháng hoặc có kế hoạch cắt giảm. Mốc 50% ở trang 2 là cách đọc của Ngày 23 cho biên SAU KHI CHIA cho đối tác. Khi ra quyết định, ưu tiên mức tự tính ở trang 5, dòng 72–77.</t>
  </si>
  <si>
    <t>Tên file nộp: [Nhom]_CS9.xlsx · Nộp lên VLearn khi hết Nhiệm vụ 4.</t>
  </si>
  <si>
    <t>Nối hai buổi trước: mang phiếu bài tập 1 và bài về nhà một trang của Ngày 22 (định giá, kênh bán), và bảng theo dõi chỉ số của Ngày 23. Trang 0 chỉ chỗ dùng từng thứ.</t>
  </si>
  <si>
    <t>Nguồn tham khảo khung bài: AI in Action khóa 3 — Ngày 24 Mô hình tài chính (slide và sổ tay), Ngày 25 Định giá và đưa sản phẩm ra thị trường (Đàm Bá Quyền). File này được dựng lại cho khóa 4.</t>
  </si>
  <si>
    <t>Cách gõ số: ô có đơn vị % thì gõ kèm dấu % (ví dụ 10%). Số tiền gõ liền, không dấu ngăn cách (ví dụ 150000000). Số thập phân theo máy: máy đặt tiếng Việt gõ 0,4; máy đặt tiếng Anh gõ 0.4. Điền rồi mà ô kết quả vẫn bằng 0: kiểm tra lại dấu thập phân.</t>
  </si>
  <si>
    <t>Đơn vị tiền: trang A tính bằng TRIỆU đồng; từ trang 1 trở đi tính bằng ĐỒNG, riêng bảng độ nhạy ở trang 5 (dòng 56–68) ghi bằng triệu đồng.</t>
  </si>
  <si>
    <t>Chú thích màu:</t>
  </si>
  <si>
    <t>Ô điền giả định (không khóa)</t>
  </si>
  <si>
    <t>Ô công thức (tự tính, đã khóa)</t>
  </si>
  <si>
    <t>Chữ xám nghiêng ở cột Gợi ý: cách lấy số và giá trị bản mẫu (không cần điền)</t>
  </si>
  <si>
    <t>0 · Nhiệm vụ 0: gom đầu vào — có thì tận dụng, chưa có thì làm mới (5 phút)</t>
  </si>
  <si>
    <t>Đánh dấu nhóm đã có hay chưa. Cả hai lối đi đều đủ điểm. Dùng số thật từ buổi trước được cộng tối đa 10 điểm.</t>
  </si>
  <si>
    <t>Có thể đã có từ buổi trước</t>
  </si>
  <si>
    <t>Nhóm đã có chưa?</t>
  </si>
  <si>
    <t>Nếu ĐÃ CÓ: dùng ở đâu</t>
  </si>
  <si>
    <t>Nếu CHƯA CÓ: làm gì</t>
  </si>
  <si>
    <t>Ghi chú (tên file, đường dẫn)</t>
  </si>
  <si>
    <t>Mô hình hiệu quả đầu tư 3–6–12 tháng và tài liệu yêu cầu sản phẩm (Phase 1, Ngày 6)</t>
  </si>
  <si>
    <t>Chưa</t>
  </si>
  <si>
    <t>Làm phiên bản 2; so sánh con số cũ và mới ở trang 3–5</t>
  </si>
  <si>
    <t>Dựng mới trên file này</t>
  </si>
  <si>
    <t>Chưa có mô hình 3–6–12 tháng: dựng mới trên file này cho đề bài giả định ShopViết (Đề bài 3)</t>
  </si>
  <si>
    <t>Bảng giám sát agent: token, chi phí theo ngày (Ngày 13)</t>
  </si>
  <si>
    <t>Lấy số lần gọi AI và token thật ở trang 1</t>
  </si>
  <si>
    <t>Chạy thử 5 câu hỏi, xem số token ở trang quản lý API (cách làm: trang 1, cột Gợi ý)</t>
  </si>
  <si>
    <t>Chưa có bảng giám sát thật: dùng số token của Đề bài 3 (1.200 vào / 400 ra mỗi lần gọi)</t>
  </si>
  <si>
    <t>Báo cáo đánh giá chất lượng (Ngày 14 hoặc buổi đánh giá Track 1)</t>
  </si>
  <si>
    <t>Tỷ lệ chưa đạt → tỷ lệ cần người kiểm tra ở trang 1</t>
  </si>
  <si>
    <t>Giả định 10–20%, ghi lý do</t>
  </si>
  <si>
    <t>Chưa có báo cáo đánh giá: dùng tỷ lệ cần người kiểm tra 2% của Đề bài 3 (chỉ khi người bán báo lỗi)</t>
  </si>
  <si>
    <t>Phiếu bài tập 1 và bài về nhà một trang (Ngày 22)</t>
  </si>
  <si>
    <t>Cách tính tiền, chi phí mỗi việc, giá đề xuất: chép vào trang 1–2 rồi soát lại</t>
  </si>
  <si>
    <t>Làm nhanh ở Nhiệm vụ 1–2 theo bản mẫu (cột Gợi ý ở trang 1–2)</t>
  </si>
  <si>
    <t>Làm nhanh cách tính tiền và giá theo Đề bài 3 (gói kết hợp 99.000đ/tháng gồm 300 việc, vượt hạn mức 300đ/việc)</t>
  </si>
  <si>
    <t>Bảng theo dõi chỉ số và luật xử lý (Ngày 23)</t>
  </si>
  <si>
    <t>Điền mức cảnh báo tự tính (trang 5, dòng 72–77) vào cột [TỰ TÍNH]</t>
  </si>
  <si>
    <t>Dùng bảng mức cảnh báo ở trang 5 làm khung</t>
  </si>
  <si>
    <t>Dùng mức cảnh báo tự tính ở trang 5 (dòng 72–77) làm khung</t>
  </si>
  <si>
    <t>Sản phẩm của nhóm từ các buổi trước</t>
  </si>
  <si>
    <t>Dùng xuyên suốt</t>
  </si>
  <si>
    <t>Nhóm ngồi chung bàn nhưng khác dự án: chọn 1 trong 3 đề bài giả định trong file CS9_DeBai_GiaDinh.pdf (đề cho sẵn số liệu trang 1–3; ghi tên đề ở cột Ghi chú)</t>
  </si>
  <si>
    <t>Đề bài 3 · ShopViết: trợ lý viết mô tả sản phẩm và trả lời đánh giá cho người bán nhỏ trên sàn thương mại điện tử (file CS9_DeBai_GiaDinh.pdf). Nhóm không có dự án chung nên dùng đề giả định.</t>
  </si>
  <si>
    <t>Số đầu vào nhóm đã có</t>
  </si>
  <si>
    <t>Điểm thưởng gợi ý (tối đa 10): 2 điểm cho mỗi đầu vào đã có và thật sự được dùng trong bài</t>
  </si>
  <si>
    <t>A · Bài tập tài chính doanh nghiệp căn bản: lập ba báo cáo tài chính</t>
  </si>
  <si>
    <t>Công ty Trợ Lý Xanh bán trợ lý AI trả lời tin nhắn. Dưới đây là mọi giao dịch của 3 tháng đầu. Lập báo cáo kết quả kinh doanh, bảng cân đối kế toán và báo cáo lưu chuyển tiền tệ.</t>
  </si>
  <si>
    <t>Đơn vị: triệu đồng. Điền ô VÀNG, kể cả các dòng lợi nhuận và dòng tổng (gõ số hoặc công thức như =SUM). Ô tự kiểm tra (cột G) chỉ báo cộng trừ đúng và ba báo cáo khớp nhau; "Đạt" chưa chắc đã ghi đúng kỳ. Dòng 33 kiểm tra riêng việc ghi theo kỳ.</t>
  </si>
  <si>
    <t>ĐỀ BÀI · Giao dịch 3 tháng đầu</t>
  </si>
  <si>
    <t>STT</t>
  </si>
  <si>
    <t>Giao dịch</t>
  </si>
  <si>
    <t>Tháng 1</t>
  </si>
  <si>
    <t>Tháng 2</t>
  </si>
  <si>
    <t>Tháng 3</t>
  </si>
  <si>
    <t>Ghi chú</t>
  </si>
  <si>
    <t>Bài 1 · Vào báo cáo kết quả? (Có / Không · vì sao)</t>
  </si>
  <si>
    <t>Chủ sở hữu góp vốn bằng tiền</t>
  </si>
  <si>
    <t>Không · góp vốn là vốn chủ sở hữu, không phải doanh thu</t>
  </si>
  <si>
    <t>Vay ngân hàng, gốc trả sau 3 năm</t>
  </si>
  <si>
    <t>Lãi 12%/năm, trả cuối mỗi tháng</t>
  </si>
  <si>
    <t>Không (gốc vay) · nợ phải trả; chỉ lãi 3 triệu/tháng vào chi phí lãi vay</t>
  </si>
  <si>
    <t>Mua máy chủ, trả tiền ngay</t>
  </si>
  <si>
    <t>Dùng 36 tháng, khấu hao đều</t>
  </si>
  <si>
    <t>Không (giá mua) · là tài sản; chỉ khấu hao 10 triệu/tháng vào báo cáo</t>
  </si>
  <si>
    <t>Bán gói tháng cho cửa hàng nhỏ, thu tiền ngay</t>
  </si>
  <si>
    <t>Có · doanh thu ghi ngay tháng bán và cung cấp dịch vụ</t>
  </si>
  <si>
    <t>Ngân hàng X trả trước gói 12 tháng</t>
  </si>
  <si>
    <t>Dịch vụ chạy đều từ tháng 1</t>
  </si>
  <si>
    <t>Có, một phần · mỗi tháng ghi 20 triệu (240/12); phần còn lại là doanh thu chưa thực hiện</t>
  </si>
  <si>
    <t>Dự án triển khai cho công ty Y được nghiệm thu</t>
  </si>
  <si>
    <t>Y trả tiền sau 60 ngày (tháng 4)</t>
  </si>
  <si>
    <t>Có · ghi 90 triệu doanh thu tháng 2 (khi nghiệm thu), dù tháng 4 mới thu tiền</t>
  </si>
  <si>
    <t>Chi phí gọi AI phát sinh trong tháng</t>
  </si>
  <si>
    <t>Nhà cung cấp cho trả vào tháng sau</t>
  </si>
  <si>
    <t>Có · ghi giá vốn tháng phát sinh, dù trả tiền tháng sau</t>
  </si>
  <si>
    <t>Người kiểm tra câu trả lời, trả trong tháng</t>
  </si>
  <si>
    <t>Có · giá vốn (người kiểm tra), tháng phát sinh</t>
  </si>
  <si>
    <t>Lương đội phát triển và bán hàng, trả trong tháng</t>
  </si>
  <si>
    <t>Có · chi phí hoạt động</t>
  </si>
  <si>
    <t>Thuê văn phòng, trả trong tháng</t>
  </si>
  <si>
    <t>Thuế thu nhập doanh nghiệp</t>
  </si>
  <si>
    <t>Lỗ lũy kế nên chưa phát sinh thuế</t>
  </si>
  <si>
    <t>Có (bằng 0) · đang lỗ nên chưa có thuế</t>
  </si>
  <si>
    <t>BÀI 1 · BÁO CÁO KẾT QUẢ KINH DOANH (10 phút). Ghi theo tháng phát sinh, không theo ngày tiền vào ra. Chi phí ghi số dương; dòng lợi nhuận = kết quả cộng trừ.</t>
  </si>
  <si>
    <t>Khoản mục</t>
  </si>
  <si>
    <t>Cộng 3 tháng</t>
  </si>
  <si>
    <t>Tự kiểm tra</t>
  </si>
  <si>
    <t>Doanh thu</t>
  </si>
  <si>
    <t>Giá vốn (gọi AI + người kiểm tra)</t>
  </si>
  <si>
    <t>Lợi nhuận gộp</t>
  </si>
  <si>
    <t>Chi phí hoạt động (lương + văn phòng)</t>
  </si>
  <si>
    <t>Lợi nhuận trước lãi vay, thuế và khấu hao (EBITDA)</t>
  </si>
  <si>
    <t>Khấu hao</t>
  </si>
  <si>
    <t>Lợi nhuận hoạt động</t>
  </si>
  <si>
    <t>Lãi vay</t>
  </si>
  <si>
    <t>Lợi nhuận trước thuế</t>
  </si>
  <si>
    <t>Lợi nhuận sau thuế</t>
  </si>
  <si>
    <t>Biên lợi nhuận gộp</t>
  </si>
  <si>
    <t>KIỂM TRA ghi theo kỳ: tổng lợi nhuận sau thuế 3 tháng (ô F31) có bằng −174 (số ở câu 3) không?</t>
  </si>
  <si>
    <t>BÀI 2 · BẢNG CÂN ĐỐI KẾ TOÁN cuối tháng 3 (Bài 2 và 3: 14 phút). Hao mòn lũy kế ghi số âm; lợi nhuận giữ lại đang lỗ thì ghi số âm.</t>
  </si>
  <si>
    <t>Số tiền</t>
  </si>
  <si>
    <t>TÀI SẢN</t>
  </si>
  <si>
    <t>Tiền</t>
  </si>
  <si>
    <t>Phải thu khách hàng</t>
  </si>
  <si>
    <t>Máy chủ — nguyên giá</t>
  </si>
  <si>
    <t>Hao mòn lũy kế</t>
  </si>
  <si>
    <t>Tổng tài sản</t>
  </si>
  <si>
    <t>NỢ PHẢI TRẢ</t>
  </si>
  <si>
    <t>Phải trả nhà cung cấp</t>
  </si>
  <si>
    <t>Doanh thu chưa thực hiện</t>
  </si>
  <si>
    <t>Vay ngân hàng</t>
  </si>
  <si>
    <t>Tổng nợ phải trả</t>
  </si>
  <si>
    <t>VỐN CHỦ SỞ HỮU</t>
  </si>
  <si>
    <t>Vốn góp</t>
  </si>
  <si>
    <t>Lợi nhuận giữ lại</t>
  </si>
  <si>
    <t>Tổng vốn chủ sở hữu</t>
  </si>
  <si>
    <t>Tổng nợ phải trả + vốn chủ sở hữu</t>
  </si>
  <si>
    <t>KIỂM TRA: Tài sản = Nợ phải trả + Vốn chủ sở hữu?</t>
  </si>
  <si>
    <t>KIỂM TRA: Lợi nhuận giữ lại = tổng lợi nhuận sau thuế 3 tháng (bài 1)?</t>
  </si>
  <si>
    <t>BÀI 3 · BÁO CÁO LƯU CHUYỂN TIỀN TỆ 3 tháng, phương pháp gián tiếp. Tiền vào ghi số dương, tiền ra ghi số âm; dòng 58–61 theo đúng chữ "Cộng" / "Trừ" ở đầu dòng.</t>
  </si>
  <si>
    <t>Cộng: khấu hao (không phải tiền chi ra) → số dương</t>
  </si>
  <si>
    <t>Trừ: phải thu khách hàng tăng thêm (đã ghi doanh thu, chưa thu tiền) → số âm</t>
  </si>
  <si>
    <t>Cộng: phải trả nhà cung cấp tăng thêm (đã ghi chi phí, chưa trả tiền) → số dương</t>
  </si>
  <si>
    <t>Cộng: doanh thu chưa thực hiện tăng thêm (khách trả trước) → số dương</t>
  </si>
  <si>
    <t>Dòng tiền từ hoạt động kinh doanh</t>
  </si>
  <si>
    <t>Mua máy chủ (tiền ra → số âm)</t>
  </si>
  <si>
    <t>Dòng tiền từ hoạt động đầu tư</t>
  </si>
  <si>
    <t>Góp vốn (tiền vào → số dương)</t>
  </si>
  <si>
    <t>Vay ngân hàng (tiền vào → số dương)</t>
  </si>
  <si>
    <t>Dòng tiền từ hoạt động tài chính</t>
  </si>
  <si>
    <t>Tiền tăng thêm trong kỳ</t>
  </si>
  <si>
    <t>Tiền đầu kỳ</t>
  </si>
  <si>
    <t>Tiền cuối kỳ</t>
  </si>
  <si>
    <t>KIỂM TRA: Tiền cuối kỳ = dòng Tiền trên bảng cân đối?</t>
  </si>
  <si>
    <t>KIỂM TRA: Lợi nhuận sau thuế = bài 1?</t>
  </si>
  <si>
    <t>CÂU HỎI 1–4 (làm sau Bài 2 và 3; câu 4 làm khi xong sớm). Mỗi câu 1–2 câu văn.</t>
  </si>
  <si>
    <t>1. Tháng nào có lãi? Trong tháng đó tiền mặt tăng hay giảm, bao nhiêu, vì sao? (Gợi ý: chỉ cộng tiền thật vào và ra trong tháng đó: tiền gọi AI tháng 1 trả trong tháng 2; 90 triệu dự án Y chưa thu.)</t>
  </si>
  <si>
    <t>Chỉ tháng 2 có lãi (lợi nhuận sau thuế +2 triệu), nhưng tiền mặt tháng 2 GIẢM 88 triệu: tiền vào chỉ có 80 triệu gói tháng; tiền ra 168 triệu (15 tiền AI của tháng 1 + 10 kiểm tra + 120 lương + 20 văn phòng + 3 lãi vay). 90 triệu dự án Y chưa thu, còn 20 triệu doanh thu từ X đã thu từ tháng 1.</t>
  </si>
  <si>
    <t>2. 240 triệu ngân hàng X trả trước nằm ở đâu trên bảng cân đối cuối tháng 3, bao nhiêu? Vì sao không ghi hết vào doanh thu?</t>
  </si>
  <si>
    <t>Nằm ở "Doanh thu chưa thực hiện" (nợ phải trả) 180 triệu. Mới phục vụ 3/12 tháng nên chỉ ghi 60 triệu doanh thu; 9 tháng dịch vụ còn nợ khách X chưa được tính là doanh thu.</t>
  </si>
  <si>
    <t>3. Lỗ 174 triệu mà dòng tiền kinh doanh chỉ âm 19 triệu. Khoản nào bù vào? Có nên vui không?</t>
  </si>
  <si>
    <t>Bù chủ yếu nhờ 180 triệu X trả trước, 35 triệu chưa trả nhà cung cấp và 30 triệu khấu hao (không chi tiền), trừ 90 triệu Y chưa trả. Không nên vui: 180 triệu là tiền một lần và còn phải phục vụ X 9 tháng mà không thu thêm; 35 triệu phải trả tháng sau.</t>
  </si>
  <si>
    <t>4. (Xong sớm) Nếu từ tháng 4 mọi thứ giữ như tháng 3, công ty còn trụ được khoảng bao nhiêu tháng?</t>
  </si>
  <si>
    <t>Giữ như tháng 3: tiền vào 110 triệu/tháng (X không trả thêm), tiền ra 188 triệu (35 AI + 10 kiểm tra + 140 lương, văn phòng + 3 lãi) → đốt khoảng 78 triệu/tháng. Tiền 921 triệu + 90 triệu Y trả tháng 4 ≈ 1.011 triệu → trụ được khoảng 12–13 tháng (khoảng 12 tháng nếu Y không trả).</t>
  </si>
  <si>
    <t>BÀI 5 · (Xong sớm) MUA MÁY CHỦ HAY THUÊ ĐÁM MÂY — so bằng giá trị hiện tại</t>
  </si>
  <si>
    <t>Mua: trả 360 triệu ngay, dùng 36 tháng. Thuê đám mây cùng cấu hình: 12 triệu/tháng, trả cuối mỗi tháng, trong 36 tháng. Bỏ qua chi phí vận hành và giá trị còn lại của máy.</t>
  </si>
  <si>
    <t>Giá mua máy chủ (triệu đồng)</t>
  </si>
  <si>
    <t>Tiền thuê mỗi tháng (triệu đồng)</t>
  </si>
  <si>
    <t>Số tháng</t>
  </si>
  <si>
    <t>Chi phí vốn / năm</t>
  </si>
  <si>
    <t>Giá trị hiện tại của 36 tháng tiền thuê. Gợi ý: =PV(C85/12; C84; -C83). Dấu trừ trước C83 để kết quả là số dương; máy đặt tiếng Anh dùng dấu phẩy thay dấu chấm phẩy.</t>
  </si>
  <si>
    <t>Nên mua hay thuê? (chọn Mua hoặc Thuê trong danh sách)</t>
  </si>
  <si>
    <t>Thuê</t>
  </si>
  <si>
    <t>Nếu chi phí vốn chỉ 8%/năm: giá trị hiện tại của tiền thuê (gợi ý: =PV(0,08/12; C84; -C83))</t>
  </si>
  <si>
    <t>Khi đó nên mua hay thuê?</t>
  </si>
  <si>
    <t>Mua</t>
  </si>
  <si>
    <t>1 · Chi phí để AI làm xong 1 việc</t>
  </si>
  <si>
    <t>'Việc' = 1 đơn vị công việc khách nhận được, ví dụ: 1 hội thoại được trả lời, 1 hồ sơ được đọc, 1 cuộc gọi.</t>
  </si>
  <si>
    <t>Chỉ tính chi phí phục vụ từng việc (giá vốn). KHÔNG tính lương đội phát triển (→ chi phí cố định), chi phí thử sai trước khi ra mắt (→ chi phí xây dựng ban đầu) và quảng cáo, bán hàng (→ chi phí có một khách); cả ba ở trang 3, nếu không sẽ bị trừ hai lần.</t>
  </si>
  <si>
    <t>Hạng mục</t>
  </si>
  <si>
    <t>Giá trị</t>
  </si>
  <si>
    <t>Đơn vị</t>
  </si>
  <si>
    <t>Nguồn / lý do</t>
  </si>
  <si>
    <t>Gợi ý cách lấy số · bản mẫu</t>
  </si>
  <si>
    <t>Mô tả 1 việc (Ngày 22 gọi là job)</t>
  </si>
  <si>
    <t>1 mô tả sản phẩm hoặc 1 câu trả lời đánh giá của khách mua: AI nhận thông tin sản phẩm (hoặc đánh giá) và giọng văn gian hàng, trả ra bản nháp để người bán bấm duyệt.</t>
  </si>
  <si>
    <t>Đề bài 3 (ShopViết)</t>
  </si>
  <si>
    <t>Một câu: AI nhận gì, trả ra gì cho khách. Bản mẫu: trả lời 1 hội thoại Zalo của khách cho cửa hàng nhỏ.</t>
  </si>
  <si>
    <t>Số lần gọi mô hình / việc</t>
  </si>
  <si>
    <t>lần</t>
  </si>
  <si>
    <t>Đề bài 3: 1 lần gọi mô hình mỗi việc</t>
  </si>
  <si>
    <t>Đếm số bước phải gọi mô hình cho 1 việc: hiểu câu hỏi, tra cứu, soạn trả lời, tự kiểm tra. Bản mẫu: 2.</t>
  </si>
  <si>
    <t>Token đầu vào / lần gọi</t>
  </si>
  <si>
    <t>token</t>
  </si>
  <si>
    <t>Đề bài 3: thông tin sản phẩm và giọng văn của gian hàng, 1.200 token/lần gọi</t>
  </si>
  <si>
    <t>Gồm câu lệnh hệ thống + tài liệu tra cứu + lịch sử hội thoại + câu hỏi. Có bảng giám sát agent thì lấy số thật; chưa có thì chạy thử 5 câu và xem số token ở trang quản lý API. Bản mẫu: 2.000.</t>
  </si>
  <si>
    <t>Token đầu ra / lần gọi</t>
  </si>
  <si>
    <t>Đề bài 3: 400 token đầu ra/lần gọi</t>
  </si>
  <si>
    <t>Độ dài câu trả lời, đếm bằng cách chạy thử. Bản mẫu: 300 (1–3 câu ngắn).</t>
  </si>
  <si>
    <t>Giá token đầu vào</t>
  </si>
  <si>
    <t>USD / 1 triệu token</t>
  </si>
  <si>
    <t>[NGÀNH] OpenAI GPT-6 Luna, 0,1 USD/1 triệu token đầu vào, mức Standard – developers.openai.com/api/docs/pricing (theo trang 9, tra 04/10/2026; mở lại link và ghi ngày tra của nhóm 12/10/2026) · mô hình theo Đề bài 3</t>
  </si>
  <si>
    <t>Chọn 1 mô hình ở trang 9 hoặc trang giá chính thức. Ghi tên mô hình, ngày tra, đường dẫn ở cột D. Bản mẫu: 0,4 USD (mô hình nhỏ giả định; nhóm thay bằng giá mô hình thật).</t>
  </si>
  <si>
    <t>Giá token đầu ra</t>
  </si>
  <si>
    <t>[NGÀNH] OpenAI GPT-6 Luna, 0,5 USD/1 triệu token đầu ra – cùng nguồn trang 9 · Đề bài 3</t>
  </si>
  <si>
    <t>Như dòng 9. Giá đầu ra thường cao hơn đầu vào nhiều lần. Bản mẫu: 1,6 USD.</t>
  </si>
  <si>
    <t>Tỷ giá</t>
  </si>
  <si>
    <t>VND / USD</t>
  </si>
  <si>
    <t>[NGÀNH] Tỷ giá bán ra Vietcombank 04/10/2026 (trang 9, báo Thanh Niên) · Đề bài 3</t>
  </si>
  <si>
    <t>Tỷ giá bán ra Vietcombank ở trang 9 (26.170 đồng, ngày 04/10/2026) hoặc tra mới, ghi ngày. Bản mẫu: 26.000.</t>
  </si>
  <si>
    <t>Tỷ lệ gọi lại khi lỗi</t>
  </si>
  <si>
    <t>%</t>
  </si>
  <si>
    <t>Đề bài 3: gọi lại khi lỗi 5%</t>
  </si>
  <si>
    <t>Tỷ lệ việc phải gọi lại vì lỗi, hết thời gian chờ, trả lời hỏng. Chưa đo: giả định 5–10%, ghi lý do. Bản mẫu: 10%.</t>
  </si>
  <si>
    <t>Hạ tầng / việc (máy chủ, cơ sở dữ liệu, gửi tin)</t>
  </si>
  <si>
    <t>VND</t>
  </si>
  <si>
    <t>Đề bài 3: hạ tầng 20 đồng/việc</t>
  </si>
  <si>
    <t>Hoá đơn hạ tầng tăng theo lượt dùng (máy chủ, cơ sở dữ liệu, gửi tin) mỗi tháng ÷ số việc mỗi tháng. Phần trả cố định hằng tháng để ở trang 3, dòng 11. Bản mẫu: 100 đồng.</t>
  </si>
  <si>
    <t>Tỷ lệ việc cần người kiểm tra</t>
  </si>
  <si>
    <t>Đề bài 3: 2% việc cần người kiểm tra, chỉ khi người bán báo lỗi</t>
  </si>
  <si>
    <t>Lấy từ báo cáo đánh giá chất lượng (tỷ lệ trả lời chưa đạt). Chưa có: giả định 10–20%. Bản mẫu: 10%.</t>
  </si>
  <si>
    <t>Số phút người kiểm tra / việc</t>
  </si>
  <si>
    <t>phút</t>
  </si>
  <si>
    <t>Đề bài 3: 1 phút kiểm tra/việc</t>
  </si>
  <si>
    <t>Thời gian 1 người đọc và sửa 1 kết quả. Bản mẫu: 1,5 phút.</t>
  </si>
  <si>
    <t>Chi phí nhân sự kiểm tra</t>
  </si>
  <si>
    <t>VND / giờ</t>
  </si>
  <si>
    <t>Đề bài 3: nhân viên kiểm tra 40.000 đồng/giờ</t>
  </si>
  <si>
    <t>Bằng (lương tháng + bảo hiểm) ÷ số giờ làm mỗi tháng (khoảng 176–208 giờ). Lương tối thiểu ở trang 9 chỉ là mức sàn. Bản mẫu: 60.000 đồng/giờ.</t>
  </si>
  <si>
    <t>Đánh giá chất lượng, giám sát, gán nhãn lại / việc</t>
  </si>
  <si>
    <t>Đề bài 3: đánh giá chất lượng 5 đồng/việc</t>
  </si>
  <si>
    <t>Chi phí chạy bộ câu hỏi đánh giá, gán nhãn lại mỗi tháng ÷ số việc mỗi tháng. Bản mẫu: 60 đồng.</t>
  </si>
  <si>
    <t>Chi phí khác / việc (tuân thủ, lưu nhật ký…)</t>
  </si>
  <si>
    <t>Đề bài 3: chi phí khác 5 đồng/việc</t>
  </si>
  <si>
    <t>Lưu nhật ký, bảo mật, tuân thủ. Ghi 0 thì nói vì sao. Bản mẫu: 30 đồng.</t>
  </si>
  <si>
    <t>KẾT QUẢ</t>
  </si>
  <si>
    <t>Chi phí gọi AI / việc (đã tính gọi lại)</t>
  </si>
  <si>
    <t>Chi phí người kiểm tra / việc</t>
  </si>
  <si>
    <t>Hạ tầng + đánh giá + khác / việc</t>
  </si>
  <si>
    <t>TỔNG CHI PHÍ MỖI VIỆC</t>
  </si>
  <si>
    <t>Bản mẫu: khoảng 413 đồng mỗi việc, trong đó gọi AI chỉ khoảng 73 đồng.</t>
  </si>
  <si>
    <t>Phần chìm so với chi phí gọi AI</t>
  </si>
  <si>
    <t>Dưới 30%: rà lại xem đã đủ các khoản chưa (kinh nghiệm giảng viên). Không thêm khoản bịa chỉ để đạt mốc.</t>
  </si>
  <si>
    <t>Giá sàn mỗi việc = 3 × chi phí mỗi việc</t>
  </si>
  <si>
    <t>Dùng cho giá từng việc, kể cả giá vượt hạn mức (biên ≈ 67%): chừa đệm cho khách dùng nhiều và giá AI biến động</t>
  </si>
  <si>
    <t>Giá tối thiểu để biên lợi nhuận gộp đạt 60%</t>
  </si>
  <si>
    <t>Giá bình quân mỗi việc của cả tệp khách nên cao hơn số này (để biên bình quân ≥ 60%, trang 4 và 7). Giá từng việc, kể cả phí vượt, dùng dòng 26.</t>
  </si>
  <si>
    <t>2 · Định giá: cách tính tiền, gói giá và nhóm khách dùng nhiều</t>
  </si>
  <si>
    <t>So sánh gói kết hợp (phí cố định + phí vượt hạn mức) với gói không giới hạn để thấy rủi ro từ nhóm khách dùng nhiều.</t>
  </si>
  <si>
    <t>Mục</t>
  </si>
  <si>
    <t>Khách trả tiền từ ngân sách nào?</t>
  </si>
  <si>
    <t>Phần mềm</t>
  </si>
  <si>
    <t>Phần mềm hay Nhân sự?</t>
  </si>
  <si>
    <t>Đề bài 3: người bán nhỏ tự trả từ ngân sách phần mềm, ngân sách nhỏ</t>
  </si>
  <si>
    <t>Cách tính tiền đã chọn</t>
  </si>
  <si>
    <t>Kết hợp (phí cố định + vượt hạn mức)</t>
  </si>
  <si>
    <t>Bảng giá dưới luôn có dạng phí cố định + phí mỗi việc vượt hạn mức. Cách nhập cho từng cách tính tiền: dòng 35–40.</t>
  </si>
  <si>
    <t>Đề bài 3: gói tháng 99.000đ + phí vượt hạn mức; người bán nhỏ dễ duyệt, phí vượt chặn khách dùng dồn</t>
  </si>
  <si>
    <t>Lý do chọn (hai câu hỏi: đo được kết quả? AI tự làm trọn?)</t>
  </si>
  <si>
    <t>Kết quả (bán được hàng) đo được nhưng chậm và phụ thuộc nhiều yếu tố khác (giá, ảnh, quảng cáo); AI chưa tự làm trọn vì người bán vẫn duyệt từng bản nháp → tính theo việc, đóng gói tháng.</t>
  </si>
  <si>
    <t>Theo hai câu hỏi của Ngày 22; Đề bài 3</t>
  </si>
  <si>
    <t>Neo giá so với cái gì?</t>
  </si>
  <si>
    <t>Lương cộng tác viên viết nội dung bán thời gian (3 triệu/tháng)</t>
  </si>
  <si>
    <t>Lương hoặc chi phí thuê ngoài, không so với giá ChatGPT</t>
  </si>
  <si>
    <t>Đề bài 3: neo theo chi phí người, không so với giá ChatGPT</t>
  </si>
  <si>
    <t>Phí cố định / khách / tháng</t>
  </si>
  <si>
    <t>Đề bài 3: phí cố định 99.000 đồng/tháng</t>
  </si>
  <si>
    <t>Số việc đã gồm trong phí cố định</t>
  </si>
  <si>
    <t>việc / tháng</t>
  </si>
  <si>
    <t>Đề bài 3: gồm 300 việc/tháng</t>
  </si>
  <si>
    <t>Giá mỗi việc vượt hạn mức</t>
  </si>
  <si>
    <t>VND / việc</t>
  </si>
  <si>
    <t>Đề bài 3: 300 đồng/việc vượt hạn mức · [TỰ TÍNH] cao hơn giá sàn 3 × chi phí mỗi việc (trang 1, dòng 26)</t>
  </si>
  <si>
    <t>Giá gói không giới hạn (để so sánh; thường = phí cố định dòng 9)</t>
  </si>
  <si>
    <t>VND / tháng</t>
  </si>
  <si>
    <t>Đề bài 3: gói không giới hạn 99.000 đồng/tháng (bằng phí cố định, chỉ để so sánh)</t>
  </si>
  <si>
    <t>Nhóm khách</t>
  </si>
  <si>
    <t>Tỷ trọng số khách (2 dòng cộng = 100%)</t>
  </si>
  <si>
    <t>Số việc / 1 khách / tháng</t>
  </si>
  <si>
    <t>Doanh thu / khách (gói kết hợp)</t>
  </si>
  <si>
    <t>Chi phí AI / khách (= số việc × chi phí mỗi việc)</t>
  </si>
  <si>
    <t>Biên lợi nhuận gộp (kết hợp)</t>
  </si>
  <si>
    <t>Doanh thu / khách (không giới hạn)</t>
  </si>
  <si>
    <t>Biên lợi nhuận gộp (không giới hạn)</t>
  </si>
  <si>
    <t>Khách thường</t>
  </si>
  <si>
    <t>Đề bài 3: khách thường 85% số khách, 120 việc/tháng</t>
  </si>
  <si>
    <t>Khách dùng nhiều</t>
  </si>
  <si>
    <t>Đề bài 3: khách dùng nhiều 15% số khách, 1.200 việc/tháng</t>
  </si>
  <si>
    <t>BÌNH QUÂN (theo tỷ trọng)</t>
  </si>
  <si>
    <t>Kiểm tra: tổng tỷ trọng phải = 100%</t>
  </si>
  <si>
    <t>Kiểm tra: giá mỗi việc vượt hạn mức ≥ giá sàn mỗi việc (trang 1, dòng 26)?</t>
  </si>
  <si>
    <t>Tỷ trọng doanh thu đến từ khách dùng nhiều</t>
  </si>
  <si>
    <t>Trong đó: phí vượt hạn mức</t>
  </si>
  <si>
    <t>Cảnh báo phụ thuộc</t>
  </si>
  <si>
    <t>PHÉP THỬ GIÁ: dùng chính quy tắc của Ngày 22 và chỉ số của Ngày 23</t>
  </si>
  <si>
    <t>Lương 1 tháng của người được thay</t>
  </si>
  <si>
    <t>Đề bài 3: cộng tác viên viết nội dung bán thời gian 3.000.000 đồng/tháng</t>
  </si>
  <si>
    <t>Tỷ lệ chia doanh thu cho đối tác / kênh bán</t>
  </si>
  <si>
    <t>% doanh thu</t>
  </si>
  <si>
    <t>Đề bài 3: bán trực tiếp, 0%</t>
  </si>
  <si>
    <t>Trả mỗi tháng</t>
  </si>
  <si>
    <t>So với lương người được thay</t>
  </si>
  <si>
    <t>Quy tắc neo 50–70% lương (Ngày 22)</t>
  </si>
  <si>
    <t>Tiền AI ÷ doanh thu (chỉ số Ngày 23)</t>
  </si>
  <si>
    <t>Mức theo Ngày 23</t>
  </si>
  <si>
    <t>Khách dùng nhiều, gói kết hợp</t>
  </si>
  <si>
    <t>Khách dùng nhiều, nếu bán gói không giới hạn</t>
  </si>
  <si>
    <t>Biên lợi nhuận gộp bình quân sau khi chia cho đối tác</t>
  </si>
  <si>
    <t>Ngày 23: trên 50% ổn · 35–50% đáng lo · dưới 35% nguy</t>
  </si>
  <si>
    <t>Để sau: làm xong trang 5 thì quay lại so tỷ lệ chia ở dòng 27 với mức tối đa tự tính ở trang 5, dòng 77. Ngưỡng 50% của Ngày 23 chưa đủ: với bản mẫu, chia quá khoảng 14% là giá trị hiện tại ròng đã âm dù biên sau chia vẫn trên 50%.</t>
  </si>
  <si>
    <t>Khách dùng nhiều vượt 70% lương không phải lỗi bắt buộc sửa: KHÔNG hạ phí vượt xuống dưới giá sàn. Hỏi lại: với khối lượng đó, khách có phải thuê hơn 1 người không? Nếu vẫn vượt, đó là rủi ro khách bỏ đi (trang 5, dòng 68): ghi vào trang 7.</t>
  </si>
  <si>
    <t>CÁCH NHẬP DÒNG 9–12 THEO CÁCH TÍNH TIỀN ĐÃ CHỌN Ở DÒNG 6</t>
  </si>
  <si>
    <t>Theo lượt dùng</t>
  </si>
  <si>
    <t>Dòng 9 = 0 · dòng 10 = 0 · dòng 11 = giá mỗi việc</t>
  </si>
  <si>
    <t>Theo người dùng (tài khoản)</t>
  </si>
  <si>
    <t>Dòng 9 = giá mỗi tài khoản × số tài khoản của 1 khách · dòng 10 = mức dùng hợp lý · dòng 11 = phí vượt (không thu thì để trống, bỏ qua dòng 19, xem rủi ro ở dòng 31)</t>
  </si>
  <si>
    <t>Theo kết quả</t>
  </si>
  <si>
    <t>Dòng 9 = 0 · dòng 10 = 0 · dòng 11 = giá mỗi kết quả × tỷ lệ việc ra kết quả</t>
  </si>
  <si>
    <t>Kết hợp (bản mẫu)</t>
  </si>
  <si>
    <t>Dòng 9 = 499.000 · dòng 10 = 300 việc · dòng 11 = 1.500 đồng mỗi việc</t>
  </si>
  <si>
    <t>Dòng 12</t>
  </si>
  <si>
    <t>Chỉ để so sánh: nhập bằng phí cố định dòng 9; nếu dòng 9 = 0 thì nhập mức trọn gói nhóm từng cân nhắc.</t>
  </si>
  <si>
    <t>3 · Giả định cho 3 kịch bản</t>
  </si>
  <si>
    <t>Lạc quan = trình bày với nhà đầu tư · Cơ sở = lập kế hoạch · Xấu = để sống sót. Điền cột CƠ SỞ trước, có nguồn hoặc lý do. Cột Lạc quan, Xấu có sẵn mặc định theo Cơ sở (xem cột Gợi ý); sửa nếu có lý do.</t>
  </si>
  <si>
    <t>Giả định</t>
  </si>
  <si>
    <t>Lạc quan</t>
  </si>
  <si>
    <t>Cơ sở</t>
  </si>
  <si>
    <t>Xấu</t>
  </si>
  <si>
    <t>Gợi ý · bản mẫu (Lạc quan / Cơ sở / Xấu)</t>
  </si>
  <si>
    <t>Hệ số doanh thu bình quân so với trang 2 (1 = giữ nguyên · 1,1 = cao hơn 10% · 0,8 = thấp hơn 20%)</t>
  </si>
  <si>
    <t>×</t>
  </si>
  <si>
    <t>Giữ mặc định của file (1,1 / 1 / 0,8) theo Đề bài 3</t>
  </si>
  <si>
    <t>Bản mẫu: 1,1 / 1 / 0,8. Xấu: bị ép giảm giá; lạc quan: bán được gói cao hơn.</t>
  </si>
  <si>
    <t>Hệ số chi phí AI / khách so với trang 2 (gõ như dòng 5)</t>
  </si>
  <si>
    <t>Giữ mặc định của file (0,9 / 1 / 1,2) theo Đề bài 3</t>
  </si>
  <si>
    <t>Bản mẫu: 0,9 / 1 / 1,2. Giá gọi AI hoặc cách khách dùng thay đổi.</t>
  </si>
  <si>
    <t>Khách mới tháng 1 (số khách ký được trong tháng đầu bán)</t>
  </si>
  <si>
    <t>khách</t>
  </si>
  <si>
    <t>Đề bài 3: 300 người bán ký trong tháng đầu bán (khách tìm đến qua quảng cáo mạng xã hội). Lạc quan/xấu = ×1,3 / ×0,5 theo mặc định</t>
  </si>
  <si>
    <t>Cơ sở: số khách đội bán hàng ký được thật trong tháng đầu. Mặc định: lạc quan = cơ sở × 1,3; xấu = cơ sở × 0,5. (Bản mẫu tự đặt 40 / 30 / 15.)</t>
  </si>
  <si>
    <t>Tăng trưởng khách mới / tháng (tính kép: 5%/tháng → tháng 24 gấp khoảng 3 lần tháng 1; 20%/tháng → gấp khoảng 66 lần)</t>
  </si>
  <si>
    <t>Đề bài 3: tăng trưởng khách mới 8%/tháng. Lạc quan/xấu = ×1,6 / ×0,4 theo mặc định</t>
  </si>
  <si>
    <t>Mặc định: lạc quan × 1,6, xấu × 0,4. Bản mẫu: 8% / 5% / 2%. Trên 10% mỗi tháng cần lý do rất chắc.</t>
  </si>
  <si>
    <t>Tỷ lệ rời bỏ / tháng</t>
  </si>
  <si>
    <t>Đề bài 3: rời bỏ 15%/tháng (người bán nhỏ, trả theo tháng, bỏ khi hết mùa bán hàng). Xấu = ×1,6 (24%) theo mặc định</t>
  </si>
  <si>
    <t>Chưa có số đo: lấy từ phỏng vấn hoặc thử nghiệm, ghi "Giả định". Xấu phải ≥ 1,5 × cơ sở. Mặc định: lạc quan × 0,6, xấu × 1,6. Bản mẫu: 3% / 5% / 8%.</t>
  </si>
  <si>
    <t>Chi phí có một khách (CAC) = tiền quảng cáo và bán hàng 1 tháng ÷ số khách mới tháng đó</t>
  </si>
  <si>
    <t>VND / khách</t>
  </si>
  <si>
    <t>Đề bài 3: CAC 700.000 đồng (quảng cáo mạng xã hội). Xấu = ×1,5 theo mặc định</t>
  </si>
  <si>
    <t>Xấu phải ≥ 1,5 × cơ sở. Mặc định: lạc quan × 0,8, xấu × 1,5. (Bản mẫu tự đặt 1,2 / 1,5 / 2,3 triệu đồng.)</t>
  </si>
  <si>
    <t>Chi phí cố định / tháng (lương đội, văn phòng, hạ tầng trả cố định)</t>
  </si>
  <si>
    <t>Đề bài 3: chi phí cố định 120 triệu/tháng (đội 4 người và văn phòng)</t>
  </si>
  <si>
    <t>Gõ đủ số đồng. Gồm lương đội phát triển (đã tách khỏi trang 1) và chi phí kiểm thử lại mỗi khi đổi mô hình hoặc câu lệnh. Bản mẫu: 150 triệu.</t>
  </si>
  <si>
    <t>Chi phí xây dựng ban đầu, gồm chi phí thử sai (chi một lần ở tháng 0)</t>
  </si>
  <si>
    <t>Đề bài 3: xây dựng ban đầu 400 triệu = thử sai 3 tháng đội và văn phòng (360 triệu) + token chạy thử, kiểm thử, dữ liệu mẫu (40 triệu)</t>
  </si>
  <si>
    <t>Gõ đủ số đồng. Gồm cả chi phí thử sai trước khi ra mắt: công đội, token chạy thử, chạy bộ câu hỏi kiểm thử sau mỗi lần sửa, tối ưu câu lệnh, làm dữ liệu mẫu, rà soát pháp lý. Bài toán càng khó càng nhiều vòng thử. Bản mẫu: 600 triệu (3 lập trình viên × 4 tháng + hạ tầng).</t>
  </si>
  <si>
    <t>Tiền mặt hoặc ngân sách đã duyệt (trước khi chi xây dựng)</t>
  </si>
  <si>
    <t>Đề bài 3: tiền mặt sẵn có 1,5 tỷ đồng</t>
  </si>
  <si>
    <t>Gõ đủ số đồng. Dự án trong công ty: ghi ngân sách đã duyệt. Để trống thì mọi kịch bản hết tiền ngay tháng 1. Bản mẫu: 2 tỷ.</t>
  </si>
  <si>
    <t>Lãi suất chiết khấu / năm</t>
  </si>
  <si>
    <t>Giữ mặc định của file: 15%/năm (Đề bài 3)</t>
  </si>
  <si>
    <t>Giữ 15% nếu không có lý do khác.</t>
  </si>
  <si>
    <t>Giá trị tính ra</t>
  </si>
  <si>
    <t>Doanh thu bình quân / khách / tháng</t>
  </si>
  <si>
    <t>Chi phí AI (giá vốn) / khách / tháng</t>
  </si>
  <si>
    <t>Doanh thu bình quân đã trừ phần chia cho đối tác (trang 2, dòng 27).</t>
  </si>
  <si>
    <t>Kiểm tra kịch bản xấu</t>
  </si>
  <si>
    <t>Tỷ lệ rời bỏ (xấu) ≥ 1,5 × cơ sở?</t>
  </si>
  <si>
    <t>Chi phí có một khách (xấu) ≥ 1,5 × cơ sở?</t>
  </si>
  <si>
    <t>4 · Chỉ số trên mỗi khách: có lãi trên từng khách không?</t>
  </si>
  <si>
    <t>Giá trị vòng đời (LTV) tính trên lợi nhuận gộp, KHÔNG tính trên doanh thu.</t>
  </si>
  <si>
    <t>Chỉ số</t>
  </si>
  <si>
    <t>Ngưỡng tham khảo</t>
  </si>
  <si>
    <t>Lợi nhuận gộp / khách / tháng</t>
  </si>
  <si>
    <t>≥ 60%</t>
  </si>
  <si>
    <t>Số tháng khách ở lại = 1 ÷ tỷ lệ rời bỏ</t>
  </si>
  <si>
    <t>Giá trị vòng đời (LTV) = lợi nhuận gộp × số tháng ở lại</t>
  </si>
  <si>
    <t>Chi phí có một khách (CAC)</t>
  </si>
  <si>
    <t>LTV ÷ CAC (lần)</t>
  </si>
  <si>
    <t>&gt; 3 (Ngày 23); mô hình của bạn: trang 5, dòng 74</t>
  </si>
  <si>
    <t>Thời gian hoàn vốn chi phí có khách (tháng)</t>
  </si>
  <si>
    <t>&lt; 12 tháng</t>
  </si>
  <si>
    <t>Đánh giá</t>
  </si>
  <si>
    <t>5 · Dòng tiền 24 tháng và hiệu quả đầu tư (3 kịch bản)</t>
  </si>
  <si>
    <t>Trang này tự tính: chỉ đọc kết quả, trừ ô vàng B54 (mức làm xấu). Kết quả chỉ có nghĩa khi trang 1–3 đã điền đủ. Tháng 0 = chi phí xây dựng. Bảng độ nhạy ở dòng 53, mức cảnh báo tự tính ở dòng 70–77.</t>
  </si>
  <si>
    <t>Kịch bản / dòng</t>
  </si>
  <si>
    <t>Tháng 0</t>
  </si>
  <si>
    <t>T1</t>
  </si>
  <si>
    <t>T2</t>
  </si>
  <si>
    <t>T3</t>
  </si>
  <si>
    <t>T4</t>
  </si>
  <si>
    <t>T5</t>
  </si>
  <si>
    <t>T6</t>
  </si>
  <si>
    <t>T7</t>
  </si>
  <si>
    <t>T8</t>
  </si>
  <si>
    <t>T9</t>
  </si>
  <si>
    <t>T10</t>
  </si>
  <si>
    <t>T11</t>
  </si>
  <si>
    <t>T12</t>
  </si>
  <si>
    <t>T13</t>
  </si>
  <si>
    <t>T14</t>
  </si>
  <si>
    <t>T15</t>
  </si>
  <si>
    <t>T16</t>
  </si>
  <si>
    <t>T17</t>
  </si>
  <si>
    <t>T18</t>
  </si>
  <si>
    <t>T19</t>
  </si>
  <si>
    <t>T20</t>
  </si>
  <si>
    <t>T21</t>
  </si>
  <si>
    <t>T22</t>
  </si>
  <si>
    <t>T23</t>
  </si>
  <si>
    <t>T24</t>
  </si>
  <si>
    <t>LẠC QUAN</t>
  </si>
  <si>
    <t>Khách mới</t>
  </si>
  <si>
    <t>Khách đang dùng</t>
  </si>
  <si>
    <t>Chi phí AI (giá vốn)</t>
  </si>
  <si>
    <t>Chi phí bán hàng (chi phí có khách × khách mới)</t>
  </si>
  <si>
    <t>Chi phí cố định</t>
  </si>
  <si>
    <t>Dòng tiền ròng</t>
  </si>
  <si>
    <t>Tiền mặt cuối kỳ</t>
  </si>
  <si>
    <t>Dòng tiền lũy kế của dự án</t>
  </si>
  <si>
    <t>CƠ SỞ</t>
  </si>
  <si>
    <t>XẤU</t>
  </si>
  <si>
    <t>TÓM TẮT HIỆU QUẢ ĐẦU TƯ</t>
  </si>
  <si>
    <t>Giá trị hiện tại ròng 24 tháng (đồng; lớn hơn 0 là đáng làm)</t>
  </si>
  <si>
    <t>&gt; 0</t>
  </si>
  <si>
    <t>Tỷ suất hoàn vốn nội bộ (IRR, quy ra năm)</t>
  </si>
  <si>
    <t>&gt; chi phí vốn</t>
  </si>
  <si>
    <t>Lãi suất làm giá trị hiện tại ròng bằng 0; so với chi phí vốn 15%. Số rất lớn ở kịch bản lạc quan là do vốn quay về nhanh — chỉ dùng để so sánh, không đọc như lợi nhuận.</t>
  </si>
  <si>
    <t>Tiền mặt thấp nhất</t>
  </si>
  <si>
    <t>Tháng hết tiền</t>
  </si>
  <si>
    <t>Không hết trong 12 tháng đầu</t>
  </si>
  <si>
    <t>Chỉ báo khi tiền mặt âm trong 24 tháng. Kịch bản cơ sở có thể luôn "Không hết tiền" — khi thử độ nhạy, hãy nhìn giá trị hiện tại ròng.</t>
  </si>
  <si>
    <t>Hoàn vốn dự án</t>
  </si>
  <si>
    <t>&lt; 24 tháng</t>
  </si>
  <si>
    <t>Khách đang dùng tháng 24</t>
  </si>
  <si>
    <t>Doanh thu tháng 24</t>
  </si>
  <si>
    <t>BẢNG ĐỘ NHẠY (kịch bản cơ sở): làm xấu từng biến, mỗi lần một biến</t>
  </si>
  <si>
    <t>Mức làm xấu</t>
  </si>
  <si>
    <t>Có thể đổi thành 10% hoặc 30% để thử</t>
  </si>
  <si>
    <t>Biến làm xấu</t>
  </si>
  <si>
    <t>Giá trị cơ sở</t>
  </si>
  <si>
    <t>Giá trị sau khi làm xấu</t>
  </si>
  <si>
    <t>Giá trị hiện tại ròng 24 tháng (triệu đồng)</t>
  </si>
  <si>
    <t>Chênh lệch so với cơ sở (triệu đồng)</t>
  </si>
  <si>
    <t>Tháng hoàn vốn</t>
  </si>
  <si>
    <t>Mức nguy hiểm (1 = nhất)</t>
  </si>
  <si>
    <t>Không đổi (cơ sở)</t>
  </si>
  <si>
    <t>—</t>
  </si>
  <si>
    <t>Doanh thu bình quân giảm</t>
  </si>
  <si>
    <t>Chi phí AI tăng</t>
  </si>
  <si>
    <t>Tỷ lệ rời bỏ tăng</t>
  </si>
  <si>
    <t>Chi phí có một khách tăng</t>
  </si>
  <si>
    <t>Khách mới tháng đầu giảm</t>
  </si>
  <si>
    <t>Tăng trưởng khách mới giảm</t>
  </si>
  <si>
    <t>Chi phí cố định tăng</t>
  </si>
  <si>
    <t>Biến nguy hiểm nhất</t>
  </si>
  <si>
    <t>Tình huống: khách dùng nhiều bỏ đi, thay bằng khách thường</t>
  </si>
  <si>
    <t>Cách đọc: biến làm giá trị hiện tại ròng giảm nhiều nhất là biến nguy hiểm nhất — đưa nó vào câu 3 của ghi chú quyết định (trang 7). Ở kịch bản cơ sở, cột "Tháng hết tiền" có thể không đổi; hãy nhìn giá trị hiện tại ròng. Dòng tình huống đặc biệt cho thấy mô hình phụ thuộc nhóm khách dùng nhiều đến mức nào.</t>
  </si>
  <si>
    <t>MỨC CẢNH BÁO TỰ TÍNH (kịch bản cơ sở): chép vào cột [TỰ TÍNH] của bảng theo dõi Ngày 23. Nếu giá trị hiện tại ròng cơ sở (D57) đang âm, cột C là mức PHẢI ĐẠT để hoà vốn, chưa phải mức cảnh báo.</t>
  </si>
  <si>
    <t>Cơ sở hiện tại</t>
  </si>
  <si>
    <t>Mức hoà vốn (giá trị hiện tại ròng 24 tháng = 0)</t>
  </si>
  <si>
    <t>Còn cách (so với hiện tại)</t>
  </si>
  <si>
    <t>Cách dùng trong bảng theo dõi Ngày 23</t>
  </si>
  <si>
    <t>Doanh thu bình quân / khách / tháng (VND)</t>
  </si>
  <si>
    <t>Dưới mức này là "nguy"</t>
  </si>
  <si>
    <t>Dưới mức này là "nguy". Ngày 22 nói 60%: đây là con số của chính mô hình</t>
  </si>
  <si>
    <t>Chi phí có một khách tối đa (VND)</t>
  </si>
  <si>
    <t>Khách mới tháng đầu tối thiểu</t>
  </si>
  <si>
    <t>Chỉ số báo sớm: số cửa hàng ký mới mỗi tháng</t>
  </si>
  <si>
    <t>Chi phí cố định tối đa / tháng (VND)</t>
  </si>
  <si>
    <t>Trần chi cho đội và văn phòng</t>
  </si>
  <si>
    <t>Tỷ lệ chia doanh thu cho đối tác tối đa</t>
  </si>
  <si>
    <t>Trần khi đàm phán với đối tác. Ngày 23 chỉ đòi biên sau chia trên 50%</t>
  </si>
  <si>
    <t>BẢNG TÍNH PHỤ CHO ĐỘ NHẠY — đã ẩn, không cần đọc</t>
  </si>
  <si>
    <t>Kịch bản</t>
  </si>
  <si>
    <t>Doanh thu bình quân</t>
  </si>
  <si>
    <t>Chi phí AI / khách</t>
  </si>
  <si>
    <t>Khách mới tháng 1</t>
  </si>
  <si>
    <t>Tăng trưởng</t>
  </si>
  <si>
    <t>Tỷ lệ rời bỏ</t>
  </si>
  <si>
    <t>Chi phí có khách</t>
  </si>
  <si>
    <t>Chi phí xây dựng</t>
  </si>
  <si>
    <t>Tiền mặt</t>
  </si>
  <si>
    <t>Lãi suất</t>
  </si>
  <si>
    <t>KB0 · Không đổi (cơ sở)</t>
  </si>
  <si>
    <t>KB1 · Doanh thu bình quân giảm</t>
  </si>
  <si>
    <t>KB2 · Chi phí AI tăng</t>
  </si>
  <si>
    <t>KB3 · Tỷ lệ rời bỏ tăng</t>
  </si>
  <si>
    <t>KB4 · Chi phí có một khách tăng</t>
  </si>
  <si>
    <t>KB5 · Khách mới tháng đầu giảm</t>
  </si>
  <si>
    <t>KB6 · Tăng trưởng khách mới giảm</t>
  </si>
  <si>
    <t>KB7 · Chi phí cố định tăng</t>
  </si>
  <si>
    <t>KB8 · Tình huống: khách dùng nhiều bỏ đi, thay bằng khách thường</t>
  </si>
  <si>
    <t>KB0 · Khách mới</t>
  </si>
  <si>
    <t>KB0 · Khách đang dùng</t>
  </si>
  <si>
    <t>KB0 · Dòng tiền ròng</t>
  </si>
  <si>
    <t>KB0 · Tiền mặt cuối kỳ</t>
  </si>
  <si>
    <t>KB0 · Dòng tiền lũy kế</t>
  </si>
  <si>
    <t>KB1 · Khách mới</t>
  </si>
  <si>
    <t>KB1 · Khách đang dùng</t>
  </si>
  <si>
    <t>KB1 · Dòng tiền ròng</t>
  </si>
  <si>
    <t>KB1 · Tiền mặt cuối kỳ</t>
  </si>
  <si>
    <t>KB1 · Dòng tiền lũy kế</t>
  </si>
  <si>
    <t>KB2 · Khách mới</t>
  </si>
  <si>
    <t>KB2 · Khách đang dùng</t>
  </si>
  <si>
    <t>KB2 · Dòng tiền ròng</t>
  </si>
  <si>
    <t>KB2 · Tiền mặt cuối kỳ</t>
  </si>
  <si>
    <t>KB2 · Dòng tiền lũy kế</t>
  </si>
  <si>
    <t>KB3 · Khách mới</t>
  </si>
  <si>
    <t>KB3 · Khách đang dùng</t>
  </si>
  <si>
    <t>KB3 · Dòng tiền ròng</t>
  </si>
  <si>
    <t>KB3 · Tiền mặt cuối kỳ</t>
  </si>
  <si>
    <t>KB3 · Dòng tiền lũy kế</t>
  </si>
  <si>
    <t>KB4 · Khách mới</t>
  </si>
  <si>
    <t>KB4 · Khách đang dùng</t>
  </si>
  <si>
    <t>KB4 · Dòng tiền ròng</t>
  </si>
  <si>
    <t>KB4 · Tiền mặt cuối kỳ</t>
  </si>
  <si>
    <t>KB4 · Dòng tiền lũy kế</t>
  </si>
  <si>
    <t>KB5 · Khách mới</t>
  </si>
  <si>
    <t>KB5 · Khách đang dùng</t>
  </si>
  <si>
    <t>KB5 · Dòng tiền ròng</t>
  </si>
  <si>
    <t>KB5 · Tiền mặt cuối kỳ</t>
  </si>
  <si>
    <t>KB5 · Dòng tiền lũy kế</t>
  </si>
  <si>
    <t>KB6 · Khách mới</t>
  </si>
  <si>
    <t>KB6 · Khách đang dùng</t>
  </si>
  <si>
    <t>KB6 · Dòng tiền ròng</t>
  </si>
  <si>
    <t>KB6 · Tiền mặt cuối kỳ</t>
  </si>
  <si>
    <t>KB6 · Dòng tiền lũy kế</t>
  </si>
  <si>
    <t>KB7 · Khách mới</t>
  </si>
  <si>
    <t>KB7 · Khách đang dùng</t>
  </si>
  <si>
    <t>KB7 · Dòng tiền ròng</t>
  </si>
  <si>
    <t>KB7 · Tiền mặt cuối kỳ</t>
  </si>
  <si>
    <t>KB7 · Dòng tiền lũy kế</t>
  </si>
  <si>
    <t>KB8 · Khách mới</t>
  </si>
  <si>
    <t>KB8 · Khách đang dùng</t>
  </si>
  <si>
    <t>KB8 · Dòng tiền ròng</t>
  </si>
  <si>
    <t>KB8 · Tiền mặt cuối kỳ</t>
  </si>
  <si>
    <t>KB8 · Dòng tiền lũy kế</t>
  </si>
  <si>
    <t>6 · Hiệu quả dự án AI dùng trong nội bộ (khi sản phẩm phục vụ chính công ty)</t>
  </si>
  <si>
    <t>Hiệu quả = (giá trị tạo ra − chi phí vận hành) so với chi phí đầu tư một lần. Không dùng thay cho trang 3–5 nếu sản phẩm bán ra thị trường.</t>
  </si>
  <si>
    <t>Lưu ý: giờ tiết kiệm chỉ thành tiền khi được dùng vào việc khác hoặc giúp giảm tuyển mới. Nếu không, chỉ ghi phần đo được ở dòng 9 và nói rõ lý do.</t>
  </si>
  <si>
    <t>Số nhân sự dùng công cụ</t>
  </si>
  <si>
    <t>người</t>
  </si>
  <si>
    <t>Số người sẽ dùng công cụ. Bản mẫu: 30 (1 phòng ban).</t>
  </si>
  <si>
    <t>Giờ tiết kiệm / người / tuần (chỉ tính giờ được dùng vào việc khác hoặc giúp giảm tuyển)</t>
  </si>
  <si>
    <t>giờ</t>
  </si>
  <si>
    <t>Chỉ tính giờ được dùng vào việc khác hoặc giúp giảm tuyển. Đo bằng thử nghiệm. Bản mẫu: 5 / 3 / 1,5.</t>
  </si>
  <si>
    <t>Tỷ lệ người dùng thật</t>
  </si>
  <si>
    <t>Người dùng đều đặn ÷ tổng số người. Bản mẫu: 80% / 60% / 35%.</t>
  </si>
  <si>
    <t>Chi phí 1 giờ công (gồm phúc lợi)</t>
  </si>
  <si>
    <t>Lương + bảo hiểm + phúc lợi ÷ số giờ làm. Bản mẫu: 120.000.</t>
  </si>
  <si>
    <t>Giá trị khác / tháng (doanh thu tăng, giảm lỗi…)</t>
  </si>
  <si>
    <t>Chỉ đưa vào nếu đo được. Bản mẫu: 10 / 5 / 0 triệu.</t>
  </si>
  <si>
    <t>Chi phí xây dựng một lần</t>
  </si>
  <si>
    <t>VND (một lần)</t>
  </si>
  <si>
    <t>Bản mẫu: 400 / 400 / 500 triệu.</t>
  </si>
  <si>
    <t>Chi phí thay đổi quy trình &amp; đào tạo (một lần)</t>
  </si>
  <si>
    <t>Khoản hay bị quên. Bản mẫu: 50 / 60 / 80 triệu.</t>
  </si>
  <si>
    <t>Chi phí vận hành / tháng (API, hạ tầng, bảo trì)</t>
  </si>
  <si>
    <t>Gọi AI + hạ tầng + bảo trì. Bản mẫu: 15 / 18 / 25 triệu.</t>
  </si>
  <si>
    <t>Giả định của lớp: chi phí vốn</t>
  </si>
  <si>
    <t>Kết quả</t>
  </si>
  <si>
    <t>Giá trị tạo ra / tháng</t>
  </si>
  <si>
    <t>Lợi ích ròng / tháng</t>
  </si>
  <si>
    <t>Đầu tư một lần</t>
  </si>
  <si>
    <t>Thời gian hoàn vốn</t>
  </si>
  <si>
    <t>Hiệu quả đầu tư sau 12 tháng (ROI)</t>
  </si>
  <si>
    <t>Giá trị hiện tại ròng 24 tháng</t>
  </si>
  <si>
    <t>Đánh giá nhanh</t>
  </si>
  <si>
    <t>Hoàn vốn dưới 12 tháng: Làm · hoàn vốn được nhưng chậm: thử ở 1 phòng ban để đo tỷ lệ người dùng thật · không hoàn vốn: Dừng</t>
  </si>
  <si>
    <t>7 · Tự kiểm tra và ghi chú quyết định</t>
  </si>
  <si>
    <t>Các dòng tự kiểm tra tự tính. "Xem lại" hay "Cần kế hoạch cắt giảm" là câu hỏi để soát, không bắt buộc thành "Đạt": sửa nếu nhập sai; nếu số đúng thì giữ nguyên và giải thích trong ghi chú. Không chỉnh giả định chỉ để đẹp số.</t>
  </si>
  <si>
    <t>Điểm kiểm tra</t>
  </si>
  <si>
    <t>Kết quả (cơ sở)</t>
  </si>
  <si>
    <t>Đạt?</t>
  </si>
  <si>
    <t>Phần chìm ≥ 30% chi phí gọi AI</t>
  </si>
  <si>
    <t>Biên lợi nhuận gộp bình quân ≥ 60% (gói kết hợp)</t>
  </si>
  <si>
    <t>LTV ÷ CAC &gt; 3 (cơ sở)</t>
  </si>
  <si>
    <t>Hoàn vốn chi phí có khách &lt; 12 tháng (cơ sở)</t>
  </si>
  <si>
    <t>Kịch bản xấu: rời bỏ và chi phí có khách đủ sốc (≥ 1,5 lần)</t>
  </si>
  <si>
    <t>Kịch bản xấu: tháng hết tiền</t>
  </si>
  <si>
    <t>Giá trị hiện tại ròng 24 tháng (cơ sở)</t>
  </si>
  <si>
    <t>Biến nguy hiểm nhất (bảng độ nhạy, trang 5)</t>
  </si>
  <si>
    <t>GHI CHÚ QUYẾT ĐỊNH: 5 câu, mỗi câu 1–3 câu văn, cả phần khoảng 200 chữ. Nhóm viết vào ô vàng dưới mỗi câu hỏi.</t>
  </si>
  <si>
    <t>1. Quyết định: Làm (cả kịch bản cơ sở và xấu đều chịu được) / Thử nghiệm nhỏ (cơ sở tốt, xấu rủi ro: ghi quy mô, thời hạn) / Dừng (lỗ trên từng khách hoặc không hoàn vốn)? Vì sao? Nếu kịch bản xấu hết tiền trước tháng 12: ghi luôn kế hoạch cắt giảm.</t>
  </si>
  <si>
    <t>DỪNG với giả định hiện tại của Đề 3; chỉ mở thử nghiệm nhỏ nếu CAC đo được ≤ 350 nghìn. Mỗi khách có lãi gộp (biên 89,5%) nhưng LTV ÷ CAC chỉ 1,19 lần, giá trị hiện tại ròng 24 tháng của cơ sở là −5,59 tỷ và tiền mặt âm từ tháng 5 ngay cả khi cơ sở; kịch bản xấu −6,13 tỷ.</t>
  </si>
  <si>
    <t>2. Giá bán và cách tính tiền đã chọn — vì sao khách chấp nhận mức đó?</t>
  </si>
  <si>
    <t>Gói kết hợp 99.000đ/tháng gồm 300 việc, vượt hạn mức 300đ/việc (giá sàn 156đ = 3 × 52đ chi phí mỗi việc). Khách thường trả 3,3% lương cộng tác viên, khách dùng nhiều trả 12,3%, tiền AI ÷ doanh thu 0,17: giá rẻ nên dễ chấp nhận, nhưng doanh thu bình quân chỉ 139.500đ/khách/tháng nên không gánh nổi CAC 700.000đ và rời bỏ 15%.</t>
  </si>
  <si>
    <t>3. Biến số nguy hiểm nhất (theo bảng độ nhạy ở trang 5) và cách theo dõi.</t>
  </si>
  <si>
    <t>Chi phí có một khách (CAC) là biến nguy hiểm nhất: tăng 20% thì giá trị hiện tại ròng tụt về −7,90 tỷ, nặng hơn cả doanh thu bình quân (−7,56 tỷ). Bán thêm khách không cứu được vì mỗi khách mới tạo LTV 0,83 triệu so với CAC 0,7 triệu và khách ở lại chỉ 6,7 tháng, nên tăng khách mới chỉ làm tiền mặt cạn nhanh hơn. Theo dõi CAC và rời bỏ hằng tuần.</t>
  </si>
  <si>
    <t>4. Luật xử lý theo khuôn Ngày 23: NẾU [chỉ số vượt mức nào] TRONG [bao lâu, trên bao nhiêu khách] THÌ [việc cụ thể, bắt đầu bằng động từ] KHÔNG THÌ [việc cấm làm, để chặn phản xạ sai; không phải nhánh "ngược lại"]. Ví dụ: NẾU doanh thu bình quân dưới mức ở trang 5, dòng 72, TRONG 2 tháng liên tiếp trên ít nhất 20 khách, THÌ dừng mở rộng, thiết kế lại gói giá. KHÔNG THÌ không giảm giá gói cơ bản để kéo khách.</t>
  </si>
  <si>
    <t>NẾU CAC thực đo vượt 360 nghìn (mức hoà vốn trang 5) TRONG 2 tháng liên tiếp, trên ít nhất 100 người bán mới, THÌ dừng chạy quảng cáo mạng xã hội và chuyển sang kênh bán kèm qua sàn. KHÔNG THÌ không tăng ngân sách quảng cáo để bù bằng số lượng khách.</t>
  </si>
  <si>
    <t>5. Mức cảnh báo tự tính (trang 5, dòng 72–77) đã điền vào bảng theo dõi Ngày 23 thế nào? Chưa có bảng Ngày 23: chép các mức đó, ghi mức nào là "nguy", mức nào "đáng lo", và ai theo dõi hằng tuần.</t>
  </si>
  <si>
    <t>Mức tự tính ở trang 5 (cơ sở): doanh thu bình quân tối thiểu ≈ 218.700đ/khách/tháng (hiện 139.500đ, cần +57%); CAC tối đa ≈ 360.600đ (hiện 700.000đ); biên gộp, khách mới tháng đầu và chi phí cố định không có mức cứu được vì giá trị ròng đang âm sâu. Nhóm chưa có bảng Ngày 23 nên chép các mức này làm cột [TỰ TÍNH].</t>
  </si>
  <si>
    <t>8 · Thang điểm (100 điểm)</t>
  </si>
  <si>
    <t>Trừ điểm: số bịa không có nguồn, chỉ 1 kịch bản, nhầm doanh thu với lợi nhuận.</t>
  </si>
  <si>
    <t>Tiêu chí</t>
  </si>
  <si>
    <t>Điểm</t>
  </si>
  <si>
    <t>Bài đạt khi</t>
  </si>
  <si>
    <t>Điểm (giảng viên chấm, nhóm không điền)</t>
  </si>
  <si>
    <t>Bài tập tài chính căn bản</t>
  </si>
  <si>
    <t>Ba báo cáo đúng và khớp: bảng cân đối cân, tiền cuối kỳ khớp, trả lời đúng câu 1–3</t>
  </si>
  <si>
    <t>Chi phí mỗi việc đầy đủ</t>
  </si>
  <si>
    <t>≥ 4 nhóm chi phí; chỉ gồm chi phí phục vụ (không lẫn R&amp;D, bán hàng); có tên mô hình và ngày tra giá</t>
  </si>
  <si>
    <t>Giá sống được trong mô hình</t>
  </si>
  <si>
    <t>Giá lấy từ bài Ngày 22 và qua ba phép thử: neo lương 50–70%, tiền AI của khách dùng nhiều, biên sau chia đối tác</t>
  </si>
  <si>
    <t>Chỉ số trên mỗi khách</t>
  </si>
  <si>
    <t>Công thức đúng; LTV tính trên lợi nhuận gộp; tỷ lệ rời bỏ và chi phí có khách có nguồn hoặc lý do rõ</t>
  </si>
  <si>
    <t>3 kịch bản và độ nhạy</t>
  </si>
  <si>
    <t>Kịch bản xấu là cú sốc thật; đọc bảng độ nhạy và chỉ ra biến số nguy hiểm nhất</t>
  </si>
  <si>
    <t>Ghi chú quyết định và mức cảnh báo</t>
  </si>
  <si>
    <t>Quyết định rõ, bảo vệ bằng số; luật xử lý theo khuôn Ngày 23; mức cảnh báo tự tính đưa vào bảng Ngày 23</t>
  </si>
  <si>
    <t>TỔNG</t>
  </si>
  <si>
    <t>Điểm thưởng: dùng số thật từ buổi trước (trang 0)</t>
  </si>
  <si>
    <t>tối đa 10</t>
  </si>
  <si>
    <t>2 điểm/đầu vào đã có và thật sự được dùng; tổng điểm không quá 100</t>
  </si>
  <si>
    <t>THANG ĐIỂM TRÌNH BÀY (1–5 điểm mỗi tiêu chí)</t>
  </si>
  <si>
    <t>Mức 1</t>
  </si>
  <si>
    <t>Mức 3</t>
  </si>
  <si>
    <t>Mức 5</t>
  </si>
  <si>
    <t>Rõ ràng</t>
  </si>
  <si>
    <t>Câu đầu chưa có quyết định; người nghe phải đoán nhóm đề xuất gì</t>
  </si>
  <si>
    <t>Có quyết định nhưng nói sau phần mở đầu, hoặc thiếu giá bán</t>
  </si>
  <si>
    <t>Câu đầu tiên có quyết định, giá bán và 1 lý do</t>
  </si>
  <si>
    <t>Bằng chứng</t>
  </si>
  <si>
    <t>Con số không có nguồn, hoặc chỉ có kịch bản cơ sở</t>
  </si>
  <si>
    <t>Có số chính và nguồn, nhưng thiếu kịch bản xấu hoặc biến nguy hiểm nhất</t>
  </si>
  <si>
    <t>Đủ chi phí mỗi việc, biên lợi nhuận, LTV ÷ CAC, kịch bản xấu; số nào cũng có nguồn hoặc lý do</t>
  </si>
  <si>
    <t>Trả lời phản biện</t>
  </si>
  <si>
    <t>Né câu hỏi hoặc trả lời chung chung</t>
  </si>
  <si>
    <t>Trả lời đúng ý nhưng không dẫn số</t>
  </si>
  <si>
    <t>Trả lời thẳng, dẫn đúng con số trong file</t>
  </si>
  <si>
    <t>Đúng giờ</t>
  </si>
  <si>
    <t>Quá 4 phút</t>
  </si>
  <si>
    <t>Từ 3 đến 4 phút</t>
  </si>
  <si>
    <t>Không quá 3 phút</t>
  </si>
  <si>
    <t>Mức 2 và 4 dùng khi bài nằm giữa hai mô tả. Điểm buổi = 60% sản phẩm + 40% trình bày (60% giảng viên + 40% các nhóm khác chấm, không tự chấm nhóm mình).</t>
  </si>
  <si>
    <t>9 · Số tham khảo đã kiểm chứng (tra ngày 04/10/2026)</t>
  </si>
  <si>
    <t>Giá thay đổi thường xuyên: trước khi dùng, mở lại đường dẫn và ghi ngày tra của nhóm. Số nào không có trong bảng, nhóm tự tìm nguồn hoặc ghi lý do.</t>
  </si>
  <si>
    <t>Mô hình AI</t>
  </si>
  <si>
    <t>Đầu vào (USD / 1 triệu token)</t>
  </si>
  <si>
    <t>Đầu ra (USD / 1 triệu token)</t>
  </si>
  <si>
    <t>Nguồn chính thức</t>
  </si>
  <si>
    <t>OpenAI GPT-6 Luna</t>
  </si>
  <si>
    <t>https://developers.openai.com/api/docs/pricing</t>
  </si>
  <si>
    <t>Mức Standard, ngữ cảnh ngắn</t>
  </si>
  <si>
    <t>OpenAI GPT-6 Sol</t>
  </si>
  <si>
    <t>https://openai.com/index/introducing-gpt-6-sol-and-luna/</t>
  </si>
  <si>
    <t>Mức Standard</t>
  </si>
  <si>
    <t>Anthropic Claude Haiku 4.5</t>
  </si>
  <si>
    <t>https://platform.claude.com/docs/en/models/haiku-4-5/overview</t>
  </si>
  <si>
    <t>Anthropic Claude Sonnet 5.5</t>
  </si>
  <si>
    <t>Bảng so sánh trên cùng trang</t>
  </si>
  <si>
    <t>Số liệu Việt Nam</t>
  </si>
  <si>
    <t>Nguồn</t>
  </si>
  <si>
    <t>Tỷ giá USD bán ra Vietcombank</t>
  </si>
  <si>
    <t>https://thanhnien.vn/gia-usd-hom-nay-4102026-bien-dong-nhe-trong-tuan-khi-euro-bang-anh-tiep-tuc-giam-185261003210750485.htm</t>
  </si>
  <si>
    <t>Báo chí đưa tin sáng 04/10/2026; đối chiếu trang Vietcombank khi dùng</t>
  </si>
  <si>
    <t>Tỷ giá trung tâm Ngân hàng Nhà nước</t>
  </si>
  <si>
    <t>https://qdnd.vn/kinh-te/tin-tuc/ty-gia-usd-hom-nay-4-10-dong-usd-tang-tuan-thu-ba-lien-tiep-1059250</t>
  </si>
  <si>
    <t>Báo QĐND đưa tin ngày 04/10/2026</t>
  </si>
  <si>
    <t>Lương tối thiểu tháng, vùng I (Hà Nội, TP.HCM)</t>
  </si>
  <si>
    <t>https://xaydungchinhsach.chinhphu.vn/tu-1-1-2026-muc-luong-toi-thieu-duoc-tang-bao-nhieu-119251111091442629.htm</t>
  </si>
  <si>
    <t>Nghị định 293/2025/NĐ-CP, hiệu lực 01/01/2026</t>
  </si>
  <si>
    <t>Lương tối thiểu giờ, vùng I</t>
  </si>
  <si>
    <t>Nghị định 293/2025/NĐ-CP; là mức sàn, chưa gồm bảo hiểm</t>
  </si>
  <si>
    <t>Số KHÔNG có trong bảng</t>
  </si>
  <si>
    <t>Cách xử lý</t>
  </si>
  <si>
    <t>Tỷ lệ rời bỏ, chi phí có một khách của SME Việt Nam</t>
  </si>
  <si>
    <t>Lớp chưa kiểm chứng được nguồn công khai đáng tin. Dùng số từ phỏng vấn hoặc thử nghiệm; nếu không có, ghi dải giả định và lý do. Không ghi "theo số chuẩn ngành" khi không chỉ ra được nguồn. Nếu có dải: số giữa vào cột Cơ sở, hai đầu dải vào Lạc quan và Xấu.</t>
  </si>
  <si>
    <t>LTV ÷ CAC &gt; 3, hoàn vốn chi phí có khách &lt; 12 tháng</t>
  </si>
  <si>
    <t>Ngưỡng tham khảo phổ biến trong ngành phần mềm thuê bao; lớp chưa kiểm chứng nguồn sơ cấp. Dùng để đọc kết quả, không phải luật.</t>
  </si>
  <si>
    <t>Giá sàn gấp 3 lần chi phí mỗi việc; phần chìm ≥ 30% chi phí gọi AI</t>
  </si>
  <si>
    <t>Kinh nghiệm của giảng viên, không phải chuẩn ngành.</t>
  </si>
  <si>
    <t>Ngưỡng nghe ở Ngày 22–23</t>
  </si>
  <si>
    <t>Cách dùng hôm nay</t>
  </si>
  <si>
    <t>Biên lợi nhuận gộp ≥ 60%, dưới 50% là nguy (Ngày 22, slide 8)</t>
  </si>
  <si>
    <t>Diễn giả nêu, không kèm nguồn. Ngày 23 (slide 34) dẫn số thực đo của công ty AI chỉ 45–53% — chưa kiểm chứng. Dùng mức tối thiểu tự tính ở trang 5.</t>
  </si>
  <si>
    <t>Neo giá ở 50–70% lương người được thay (Ngày 22, slide 9)</t>
  </si>
  <si>
    <t>Kinh nghiệm diễn giả. Dùng làm phép thử ở trang 2, không phải luật.</t>
  </si>
  <si>
    <t>Ranh giới bán tự phục vụ dưới 50 USD, bán trực tiếp trên 1.000 USD mỗi tháng (Ngày 22, slide 17–18)</t>
  </si>
  <si>
    <t>Ngưỡng của thị trường Mỹ. Ranh giới của nhóm là chi phí có một khách tối đa tự tính ở trang 5.</t>
  </si>
  <si>
    <t>GitHub Copilot thu 10 USD, chi 80 USD, lỗ 70 USD mỗi người (Ngày 22, slide 3)</t>
  </si>
  <si>
    <t>WSJ 10/2023 đưa tin lỗ trung bình khoảng 20 USD/người/tháng; 80 USD là mức của một số người dùng nặng. Theo bản tóm tắt của AI Business, chưa đọc bài gốc WSJ.</t>
  </si>
  <si>
    <t>Nhãn nguồn [NGÀNH] · [TỰ TÍNH] · [TỰ ĐO] (Ngày 23, slide 11)</t>
  </si>
  <si>
    <t>Dùng ba nhãn này trong cột "Nguồn / lý do". Số chưa có nguồn, chưa đo: ghi "Giả định: … vì …", không gắn [NGÀNH].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</si>
</sst>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Red]\-#,##0"/>
    <numFmt numFmtId="165" formatCode="#,##0.0;[Red]\-#,##0.0"/>
    <numFmt numFmtId="166" formatCode="#,##0.##"/>
    <numFmt numFmtId="167" formatCode="0.0%"/>
    <numFmt numFmtId="168" formatCode="0.0&quot; tháng&quot;"/>
    <numFmt numFmtId="169" formatCode="0.00\x"/>
    <numFmt numFmtId="170" formatCode="#,##0.0"/>
    <numFmt numFmtId="171" formatCode="&quot;Tháng &quot;0"/>
  </numFmts>
  <fonts count="13" x14ac:knownFonts="1">
    <font>
      <sz val="11"/>
      <color theme="1"/>
      <name val="Calibri"/>
      <family val="2"/>
      <charset val="1"/>
    </font>
    <font>
      <b/>
      <sz val="14"/>
      <name val="Cambria"/>
      <family val="1"/>
    </font>
    <font>
      <i/>
      <sz val="11"/>
      <color rgb="FF595959"/>
      <name val="Cambria"/>
      <family val="1"/>
    </font>
    <font>
      <b/>
      <sz val="11"/>
      <name val="Cambria"/>
      <family val="1"/>
    </font>
    <font>
      <i/>
      <sz val="11"/>
      <color rgb="FF595959"/>
      <name val="Calibri"/>
      <family val="2"/>
    </font>
    <font>
      <b/>
      <sz val="11"/>
      <color rgb="FFFFFFFF"/>
      <name val="Cambria"/>
      <family val="1"/>
    </font>
    <font>
      <i/>
      <sz val="10"/>
      <color rgb="FF595959"/>
      <name val="Calibri"/>
      <family val="2"/>
    </font>
    <font>
      <sz val="11"/>
      <name val="Calibri"/>
      <family val="2"/>
    </font>
    <font>
      <b/>
      <sz val="11"/>
      <name val="Calibri"/>
      <family val="2"/>
    </font>
    <font>
      <b/>
      <sz val="11"/>
      <color rgb="FFC00000"/>
      <name val="Calibri"/>
      <family val="2"/>
    </font>
    <font>
      <b/>
      <sz val="12"/>
      <name val="Cambria"/>
      <family val="1"/>
    </font>
    <font>
      <b/>
      <sz val="11"/>
      <color rgb="FFC00000"/>
      <name val="Cambria"/>
      <family val="1"/>
    </font>
    <font>
      <sz val="10"/>
      <color rgb="FF808080"/>
      <name val="Calibri"/>
      <family val="2"/>
    </font>
  </fonts>
  <fills count="6">
    <fill>
      <patternFill patternType="none"/>
    </fill>
    <fill>
      <patternFill patternType="gray125"/>
    </fill>
    <fill>
      <patternFill patternType="solid">
        <fgColor rgb="FFFFF2CC"/>
        <bgColor rgb="FFE2EFDA"/>
      </patternFill>
    </fill>
    <fill>
      <patternFill patternType="solid">
        <fgColor rgb="FFE2EFDA"/>
        <bgColor rgb="FFD9E1F2"/>
      </patternFill>
    </fill>
    <fill>
      <patternFill patternType="solid">
        <fgColor rgb="FF1F3864"/>
        <bgColor rgb="FF333333"/>
      </patternFill>
    </fill>
    <fill>
      <patternFill patternType="solid">
        <fgColor rgb="FFD9E1F2"/>
        <bgColor rgb="FFE2EFDA"/>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118">
    <xf numFmtId="0" fontId="0" fillId="0" borderId="0" xfId="0"/>
    <xf numFmtId="0" fontId="1" fillId="0" borderId="0" xfId="0" applyFont="1"/>
    <xf numFmtId="0" fontId="2" fillId="0" borderId="0" xfId="0" applyFont="1" applyAlignment="1">
      <alignment vertical="top" wrapText="1"/>
    </xf>
    <xf numFmtId="0" fontId="0" fillId="0" borderId="0" xfId="0" applyAlignment="1">
      <alignment vertical="top" wrapText="1"/>
    </xf>
    <xf numFmtId="0" fontId="3" fillId="0" borderId="0" xfId="0" applyFont="1"/>
    <xf numFmtId="0" fontId="0" fillId="2" borderId="0" xfId="0" applyFill="1"/>
    <xf numFmtId="0" fontId="0" fillId="3" borderId="0" xfId="0" applyFill="1"/>
    <xf numFmtId="0" fontId="4" fillId="0" borderId="0" xfId="0" applyFont="1" applyAlignment="1">
      <alignment vertical="top" wrapText="1"/>
    </xf>
    <xf numFmtId="0" fontId="2" fillId="0" borderId="0" xfId="0" applyFont="1"/>
    <xf numFmtId="0" fontId="5" fillId="4" borderId="0" xfId="0" applyFont="1" applyFill="1" applyAlignment="1">
      <alignment wrapText="1"/>
    </xf>
    <xf numFmtId="0" fontId="0" fillId="0" borderId="1" xfId="0" applyBorder="1" applyAlignment="1">
      <alignment vertical="top" wrapText="1"/>
    </xf>
    <xf numFmtId="0" fontId="0" fillId="2" borderId="1" xfId="0" applyFill="1" applyBorder="1" applyAlignment="1" applyProtection="1">
      <alignment vertical="top" wrapText="1"/>
      <protection locked="0"/>
    </xf>
    <xf numFmtId="0" fontId="6" fillId="0" borderId="0" xfId="0" applyFont="1" applyAlignment="1">
      <alignment vertical="top" wrapText="1"/>
    </xf>
    <xf numFmtId="0" fontId="5" fillId="4" borderId="0" xfId="0" applyFont="1" applyFill="1" applyAlignment="1">
      <alignment vertical="center" wrapText="1"/>
    </xf>
    <xf numFmtId="0" fontId="7" fillId="0" borderId="1" xfId="0" applyFont="1" applyBorder="1" applyAlignment="1">
      <alignment horizontal="center" vertical="center"/>
    </xf>
    <xf numFmtId="0" fontId="7" fillId="0" borderId="1" xfId="0" applyFont="1" applyBorder="1" applyAlignment="1">
      <alignment vertical="center"/>
    </xf>
    <xf numFmtId="164" fontId="7" fillId="0" borderId="1" xfId="0" applyNumberFormat="1" applyFont="1" applyBorder="1" applyAlignment="1">
      <alignment vertical="center"/>
    </xf>
    <xf numFmtId="0" fontId="7" fillId="0" borderId="1" xfId="0" applyFont="1" applyBorder="1" applyAlignment="1">
      <alignment vertical="center" wrapText="1"/>
    </xf>
    <xf numFmtId="0" fontId="7" fillId="2" borderId="1" xfId="0" applyFont="1" applyFill="1" applyBorder="1" applyAlignment="1" applyProtection="1">
      <alignment vertical="center" wrapText="1"/>
      <protection locked="0"/>
    </xf>
    <xf numFmtId="0" fontId="3" fillId="0" borderId="0" xfId="0" applyFont="1" applyAlignment="1">
      <alignment vertical="top" wrapText="1"/>
    </xf>
    <xf numFmtId="0" fontId="7" fillId="0" borderId="1" xfId="0" applyFont="1" applyBorder="1"/>
    <xf numFmtId="164" fontId="7" fillId="2" borderId="1" xfId="0" applyNumberFormat="1" applyFont="1" applyFill="1" applyBorder="1" applyProtection="1">
      <protection locked="0"/>
    </xf>
    <xf numFmtId="164" fontId="7" fillId="3" borderId="1" xfId="0" applyNumberFormat="1" applyFont="1" applyFill="1" applyBorder="1"/>
    <xf numFmtId="0" fontId="8" fillId="0" borderId="1" xfId="0" applyFont="1" applyBorder="1"/>
    <xf numFmtId="164" fontId="8" fillId="3" borderId="1" xfId="0" applyNumberFormat="1" applyFont="1" applyFill="1" applyBorder="1"/>
    <xf numFmtId="0" fontId="7" fillId="3" borderId="1" xfId="0" applyFont="1" applyFill="1" applyBorder="1"/>
    <xf numFmtId="9" fontId="7" fillId="3" borderId="1" xfId="0" applyNumberFormat="1" applyFont="1" applyFill="1" applyBorder="1"/>
    <xf numFmtId="0" fontId="8" fillId="0" borderId="1" xfId="0" applyFont="1" applyBorder="1" applyAlignment="1">
      <alignment vertical="top" wrapText="1"/>
    </xf>
    <xf numFmtId="0" fontId="8" fillId="3" borderId="1" xfId="0" applyFont="1" applyFill="1" applyBorder="1" applyAlignment="1">
      <alignment vertical="top" wrapText="1"/>
    </xf>
    <xf numFmtId="0" fontId="8" fillId="3" borderId="1" xfId="0" applyFont="1" applyFill="1" applyBorder="1"/>
    <xf numFmtId="0" fontId="7" fillId="0" borderId="1" xfId="0" applyFont="1" applyBorder="1" applyAlignment="1">
      <alignment vertical="top" wrapText="1"/>
    </xf>
    <xf numFmtId="164" fontId="7" fillId="0" borderId="1" xfId="0" applyNumberFormat="1" applyFont="1" applyBorder="1"/>
    <xf numFmtId="9" fontId="7" fillId="0" borderId="1" xfId="0" applyNumberFormat="1" applyFont="1" applyBorder="1"/>
    <xf numFmtId="165" fontId="7" fillId="2" borderId="1" xfId="0" applyNumberFormat="1" applyFont="1" applyFill="1" applyBorder="1" applyProtection="1">
      <protection locked="0"/>
    </xf>
    <xf numFmtId="0" fontId="7" fillId="2" borderId="1" xfId="0" applyFont="1" applyFill="1" applyBorder="1" applyProtection="1">
      <protection locked="0"/>
    </xf>
    <xf numFmtId="0" fontId="0" fillId="0" borderId="1" xfId="0" applyBorder="1" applyAlignment="1">
      <alignment vertical="center"/>
    </xf>
    <xf numFmtId="0" fontId="0" fillId="2" borderId="0" xfId="0" applyFill="1" applyAlignment="1" applyProtection="1">
      <alignment vertical="center"/>
      <protection locked="0"/>
    </xf>
    <xf numFmtId="0" fontId="0" fillId="0" borderId="0" xfId="0" applyAlignment="1">
      <alignment vertical="center"/>
    </xf>
    <xf numFmtId="0" fontId="0" fillId="2" borderId="0" xfId="0" applyFill="1" applyAlignment="1" applyProtection="1">
      <alignment vertical="center" wrapText="1"/>
      <protection locked="0"/>
    </xf>
    <xf numFmtId="0" fontId="6" fillId="0" borderId="0" xfId="0" applyFont="1" applyAlignment="1">
      <alignment vertical="center" wrapText="1"/>
    </xf>
    <xf numFmtId="166" fontId="0" fillId="2" borderId="1" xfId="0" applyNumberFormat="1" applyFill="1" applyBorder="1" applyAlignment="1" applyProtection="1">
      <alignment vertical="center"/>
      <protection locked="0"/>
    </xf>
    <xf numFmtId="167" fontId="0" fillId="2" borderId="1" xfId="0" applyNumberFormat="1" applyFill="1" applyBorder="1" applyAlignment="1" applyProtection="1">
      <alignment vertical="center"/>
      <protection locked="0"/>
    </xf>
    <xf numFmtId="0" fontId="0" fillId="0" borderId="1" xfId="0" applyBorder="1"/>
    <xf numFmtId="164" fontId="0" fillId="3" borderId="1" xfId="0" applyNumberFormat="1" applyFill="1" applyBorder="1"/>
    <xf numFmtId="164" fontId="3" fillId="3" borderId="1" xfId="0" applyNumberFormat="1" applyFont="1" applyFill="1" applyBorder="1"/>
    <xf numFmtId="167" fontId="0" fillId="3" borderId="1" xfId="0" applyNumberFormat="1" applyFill="1" applyBorder="1"/>
    <xf numFmtId="0" fontId="6" fillId="0" borderId="0" xfId="0" applyFont="1"/>
    <xf numFmtId="0" fontId="0" fillId="2" borderId="0" xfId="0" applyFill="1" applyAlignment="1" applyProtection="1">
      <alignment wrapText="1"/>
      <protection locked="0"/>
    </xf>
    <xf numFmtId="0" fontId="7" fillId="2" borderId="0" xfId="0" applyFont="1" applyFill="1" applyProtection="1">
      <protection locked="0"/>
    </xf>
    <xf numFmtId="164" fontId="0" fillId="2" borderId="1" xfId="0" applyNumberFormat="1" applyFill="1" applyBorder="1" applyProtection="1">
      <protection locked="0"/>
    </xf>
    <xf numFmtId="0" fontId="5" fillId="4" borderId="0" xfId="0" applyFont="1" applyFill="1" applyAlignment="1">
      <alignment vertical="top" wrapText="1"/>
    </xf>
    <xf numFmtId="167" fontId="0" fillId="2" borderId="1" xfId="0" applyNumberFormat="1" applyFill="1" applyBorder="1" applyProtection="1">
      <protection locked="0"/>
    </xf>
    <xf numFmtId="3" fontId="0" fillId="2" borderId="1" xfId="0" applyNumberFormat="1" applyFill="1" applyBorder="1" applyProtection="1">
      <protection locked="0"/>
    </xf>
    <xf numFmtId="3" fontId="0" fillId="3" borderId="1" xfId="0" applyNumberFormat="1" applyFill="1" applyBorder="1"/>
    <xf numFmtId="167" fontId="3" fillId="3" borderId="1" xfId="0" applyNumberFormat="1" applyFont="1" applyFill="1" applyBorder="1"/>
    <xf numFmtId="0" fontId="0" fillId="3" borderId="1" xfId="0" applyFill="1" applyBorder="1"/>
    <xf numFmtId="9" fontId="7" fillId="2" borderId="1" xfId="0" applyNumberFormat="1" applyFont="1" applyFill="1" applyBorder="1" applyProtection="1">
      <protection locked="0"/>
    </xf>
    <xf numFmtId="0" fontId="7" fillId="3" borderId="1" xfId="0" applyFont="1" applyFill="1" applyBorder="1" applyAlignment="1">
      <alignment vertical="top" wrapText="1"/>
    </xf>
    <xf numFmtId="2" fontId="7" fillId="3" borderId="1" xfId="0" applyNumberFormat="1" applyFont="1" applyFill="1" applyBorder="1"/>
    <xf numFmtId="167" fontId="8" fillId="3" borderId="1" xfId="0" applyNumberFormat="1" applyFont="1" applyFill="1" applyBorder="1"/>
    <xf numFmtId="0" fontId="0" fillId="0" borderId="1" xfId="0" applyBorder="1" applyAlignment="1">
      <alignment vertical="center" wrapText="1"/>
    </xf>
    <xf numFmtId="2" fontId="0" fillId="2" borderId="1" xfId="0" applyNumberFormat="1" applyFill="1" applyBorder="1" applyAlignment="1" applyProtection="1">
      <alignment vertical="center"/>
      <protection locked="0"/>
    </xf>
    <xf numFmtId="0" fontId="7" fillId="2" borderId="0" xfId="0" applyFont="1" applyFill="1" applyAlignment="1" applyProtection="1">
      <alignment vertical="center" wrapText="1"/>
      <protection locked="0"/>
    </xf>
    <xf numFmtId="3" fontId="0" fillId="2" borderId="1" xfId="0" applyNumberFormat="1" applyFill="1" applyBorder="1" applyAlignment="1" applyProtection="1">
      <alignment vertical="center"/>
      <protection locked="0"/>
    </xf>
    <xf numFmtId="164" fontId="0" fillId="2" borderId="1" xfId="0" applyNumberFormat="1" applyFill="1" applyBorder="1" applyAlignment="1" applyProtection="1">
      <alignment vertical="center"/>
      <protection locked="0"/>
    </xf>
    <xf numFmtId="0" fontId="7" fillId="2" borderId="0" xfId="0" applyFont="1" applyFill="1" applyAlignment="1" applyProtection="1">
      <alignment vertical="center"/>
      <protection locked="0"/>
    </xf>
    <xf numFmtId="168" fontId="0" fillId="3" borderId="1" xfId="0" applyNumberFormat="1" applyFill="1" applyBorder="1"/>
    <xf numFmtId="169" fontId="3" fillId="3" borderId="1" xfId="0" applyNumberFormat="1" applyFont="1" applyFill="1" applyBorder="1"/>
    <xf numFmtId="0" fontId="3" fillId="3" borderId="1" xfId="0" applyFont="1" applyFill="1" applyBorder="1"/>
    <xf numFmtId="0" fontId="3" fillId="5" borderId="0" xfId="0" applyFont="1" applyFill="1"/>
    <xf numFmtId="170" fontId="0" fillId="0" borderId="0" xfId="0" applyNumberFormat="1"/>
    <xf numFmtId="164" fontId="0" fillId="0" borderId="0" xfId="0" applyNumberFormat="1"/>
    <xf numFmtId="0" fontId="10" fillId="0" borderId="0" xfId="0" applyFont="1"/>
    <xf numFmtId="171" fontId="0" fillId="3" borderId="1" xfId="0" applyNumberFormat="1" applyFill="1" applyBorder="1"/>
    <xf numFmtId="0" fontId="7" fillId="0" borderId="0" xfId="0" applyFont="1"/>
    <xf numFmtId="9" fontId="7" fillId="2" borderId="0" xfId="0" applyNumberFormat="1" applyFont="1" applyFill="1" applyProtection="1">
      <protection locked="0"/>
    </xf>
    <xf numFmtId="0" fontId="5" fillId="4" borderId="0" xfId="0" applyFont="1" applyFill="1" applyAlignment="1">
      <alignment horizontal="left" vertical="center" wrapText="1"/>
    </xf>
    <xf numFmtId="0" fontId="5" fillId="4" borderId="0" xfId="0" applyFont="1" applyFill="1" applyAlignment="1">
      <alignment horizontal="center" vertical="center" wrapText="1"/>
    </xf>
    <xf numFmtId="0" fontId="7" fillId="0" borderId="0" xfId="0" applyFont="1" applyAlignment="1">
      <alignment horizontal="center"/>
    </xf>
    <xf numFmtId="164" fontId="7" fillId="3" borderId="0" xfId="0" applyNumberFormat="1" applyFont="1" applyFill="1"/>
    <xf numFmtId="171" fontId="7" fillId="3" borderId="0" xfId="0" applyNumberFormat="1" applyFont="1" applyFill="1" applyAlignment="1">
      <alignment vertical="center" wrapText="1"/>
    </xf>
    <xf numFmtId="1" fontId="7" fillId="3" borderId="0" xfId="0" applyNumberFormat="1" applyFont="1" applyFill="1" applyAlignment="1">
      <alignment horizontal="center"/>
    </xf>
    <xf numFmtId="167" fontId="7" fillId="3" borderId="0" xfId="0" applyNumberFormat="1" applyFont="1" applyFill="1"/>
    <xf numFmtId="170" fontId="7" fillId="3" borderId="0" xfId="0" applyNumberFormat="1" applyFont="1" applyFill="1"/>
    <xf numFmtId="0" fontId="11" fillId="3" borderId="0" xfId="0" applyFont="1" applyFill="1"/>
    <xf numFmtId="0" fontId="3" fillId="0" borderId="0" xfId="0" applyFont="1" applyAlignment="1">
      <alignment vertical="center" wrapText="1"/>
    </xf>
    <xf numFmtId="167" fontId="7" fillId="3" borderId="1" xfId="0" applyNumberFormat="1" applyFont="1" applyFill="1" applyBorder="1"/>
    <xf numFmtId="165" fontId="7" fillId="3" borderId="1" xfId="0" applyNumberFormat="1" applyFont="1" applyFill="1" applyBorder="1"/>
    <xf numFmtId="165" fontId="8" fillId="3" borderId="1" xfId="0" applyNumberFormat="1" applyFont="1" applyFill="1" applyBorder="1"/>
    <xf numFmtId="0" fontId="12" fillId="0" borderId="0" xfId="0" applyFont="1"/>
    <xf numFmtId="164" fontId="12" fillId="0" borderId="0" xfId="0" applyNumberFormat="1" applyFont="1"/>
    <xf numFmtId="170" fontId="12" fillId="0" borderId="0" xfId="0" applyNumberFormat="1" applyFont="1"/>
    <xf numFmtId="167" fontId="12" fillId="0" borderId="0" xfId="0" applyNumberFormat="1" applyFont="1"/>
    <xf numFmtId="0" fontId="9" fillId="0" borderId="0" xfId="0" applyFont="1"/>
    <xf numFmtId="170" fontId="0" fillId="2" borderId="1" xfId="0" applyNumberFormat="1" applyFill="1" applyBorder="1" applyAlignment="1" applyProtection="1">
      <alignment vertical="center"/>
      <protection locked="0"/>
    </xf>
    <xf numFmtId="168" fontId="3" fillId="3" borderId="1" xfId="0" applyNumberFormat="1" applyFont="1" applyFill="1" applyBorder="1"/>
    <xf numFmtId="169" fontId="0" fillId="3" borderId="1" xfId="0" applyNumberFormat="1" applyFill="1" applyBorder="1"/>
    <xf numFmtId="0" fontId="0" fillId="2" borderId="0" xfId="0" applyFill="1" applyProtection="1">
      <protection locked="0"/>
    </xf>
    <xf numFmtId="0" fontId="7" fillId="0" borderId="0" xfId="0" applyFont="1" applyAlignment="1">
      <alignment vertical="top" wrapText="1"/>
    </xf>
    <xf numFmtId="2" fontId="7" fillId="0" borderId="0" xfId="0" applyNumberFormat="1" applyFont="1"/>
    <xf numFmtId="3" fontId="7" fillId="0" borderId="0" xfId="0" applyNumberFormat="1" applyFont="1"/>
    <xf numFmtId="0" fontId="6" fillId="0" borderId="0" xfId="0" applyFont="1" applyAlignment="1">
      <alignment vertical="top" wrapText="1"/>
    </xf>
    <xf numFmtId="0" fontId="0" fillId="0" borderId="0" xfId="0"/>
    <xf numFmtId="0" fontId="7" fillId="2" borderId="1" xfId="0" applyFont="1" applyFill="1" applyBorder="1" applyAlignment="1" applyProtection="1">
      <alignment vertical="top" wrapText="1"/>
      <protection locked="0"/>
    </xf>
    <xf numFmtId="0" fontId="0" fillId="0" borderId="2" xfId="0" applyBorder="1" applyProtection="1">
      <protection locked="0"/>
    </xf>
    <xf numFmtId="0" fontId="0" fillId="0" borderId="3" xfId="0" applyBorder="1" applyProtection="1">
      <protection locked="0"/>
    </xf>
    <xf numFmtId="0" fontId="3" fillId="0" borderId="0" xfId="0" applyFont="1" applyAlignment="1">
      <alignment vertical="top" wrapText="1"/>
    </xf>
    <xf numFmtId="0" fontId="9" fillId="0" borderId="0" xfId="0" applyFont="1" applyAlignment="1">
      <alignment vertical="top" wrapText="1"/>
    </xf>
    <xf numFmtId="0" fontId="7" fillId="0" borderId="1" xfId="0" applyFont="1" applyBorder="1"/>
    <xf numFmtId="0" fontId="0" fillId="0" borderId="2" xfId="0" applyBorder="1"/>
    <xf numFmtId="0" fontId="0" fillId="0" borderId="3" xfId="0" applyBorder="1"/>
    <xf numFmtId="0" fontId="7" fillId="3" borderId="1" xfId="0" applyFont="1" applyFill="1" applyBorder="1"/>
    <xf numFmtId="0" fontId="5" fillId="4" borderId="0" xfId="0" applyFont="1" applyFill="1" applyAlignment="1">
      <alignment vertical="center" wrapText="1"/>
    </xf>
    <xf numFmtId="0" fontId="10" fillId="0" borderId="0" xfId="0" applyFont="1" applyAlignment="1">
      <alignment vertical="top" wrapText="1"/>
    </xf>
    <xf numFmtId="0" fontId="0" fillId="2" borderId="0" xfId="0" applyFill="1" applyAlignment="1" applyProtection="1">
      <alignment wrapText="1"/>
      <protection locked="0"/>
    </xf>
    <xf numFmtId="0" fontId="0" fillId="0" borderId="0" xfId="0" applyProtection="1">
      <protection locked="0"/>
    </xf>
    <xf numFmtId="0" fontId="2" fillId="0" borderId="0" xfId="0" applyFont="1" applyAlignment="1">
      <alignment vertical="top" wrapText="1"/>
    </xf>
    <xf numFmtId="0" fontId="7" fillId="0" borderId="0" xfId="0" applyFont="1" applyAlignment="1">
      <alignment vertical="top" wrapText="1"/>
    </xf>
  </cellXfs>
  <cellStyles count="1">
    <cellStyle name="Normal" xfId="0" builtinId="0"/>
  </cellStyles>
  <dxfs count="1">
    <dxf>
      <font>
        <b/>
        <color rgb="FFC00000"/>
      </font>
      <fill>
        <patternFill>
          <bgColor rgb="FFF8CBAD"/>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8"/>
  <sheetViews>
    <sheetView tabSelected="1" zoomScaleNormal="100" workbookViewId="0"/>
  </sheetViews>
  <sheetFormatPr baseColWidth="10" defaultColWidth="8.6640625" defaultRowHeight="15" x14ac:dyDescent="0.2"/>
  <cols>
    <col min="1" max="1" width="130" customWidth="1"/>
  </cols>
  <sheetData>
    <row r="1" spans="1:1" ht="17.25" customHeight="1" x14ac:dyDescent="0.2">
      <c r="A1" s="1" t="s">
        <v>0</v>
      </c>
    </row>
    <row r="2" spans="1:1" ht="46.5" customHeight="1" x14ac:dyDescent="0.2">
      <c r="A2" s="2" t="s">
        <v>1</v>
      </c>
    </row>
    <row r="3" spans="1:1" ht="31.5" customHeight="1" x14ac:dyDescent="0.2">
      <c r="A3" s="3" t="s">
        <v>2</v>
      </c>
    </row>
    <row r="4" spans="1:1" ht="31.5" customHeight="1" x14ac:dyDescent="0.2">
      <c r="A4" s="3" t="s">
        <v>3</v>
      </c>
    </row>
    <row r="5" spans="1:1" ht="46.5" customHeight="1" x14ac:dyDescent="0.2">
      <c r="A5" s="3" t="s">
        <v>4</v>
      </c>
    </row>
    <row r="6" spans="1:1" ht="46.5" customHeight="1" x14ac:dyDescent="0.2">
      <c r="A6" s="3" t="s">
        <v>5</v>
      </c>
    </row>
    <row r="7" spans="1:1" ht="31.5" customHeight="1" x14ac:dyDescent="0.2">
      <c r="A7" s="3" t="s">
        <v>6</v>
      </c>
    </row>
    <row r="8" spans="1:1" ht="16.5" customHeight="1" x14ac:dyDescent="0.2">
      <c r="A8" s="3" t="s">
        <v>7</v>
      </c>
    </row>
    <row r="9" spans="1:1" ht="46.5" customHeight="1" x14ac:dyDescent="0.2">
      <c r="A9" s="3" t="s">
        <v>8</v>
      </c>
    </row>
    <row r="10" spans="1:1" ht="16.5" customHeight="1" x14ac:dyDescent="0.2">
      <c r="A10" s="3" t="s">
        <v>9</v>
      </c>
    </row>
    <row r="11" spans="1:1" ht="31.5" customHeight="1" x14ac:dyDescent="0.2">
      <c r="A11" s="3" t="s">
        <v>10</v>
      </c>
    </row>
    <row r="12" spans="1:1" ht="31.5" customHeight="1" x14ac:dyDescent="0.2">
      <c r="A12" s="3" t="s">
        <v>11</v>
      </c>
    </row>
    <row r="13" spans="1:1" ht="31.5" customHeight="1" x14ac:dyDescent="0.2">
      <c r="A13" s="3" t="s">
        <v>12</v>
      </c>
    </row>
    <row r="14" spans="1:1" ht="16.5" customHeight="1" x14ac:dyDescent="0.2">
      <c r="A14" s="3" t="s">
        <v>13</v>
      </c>
    </row>
    <row r="15" spans="1:1" ht="15" customHeight="1" x14ac:dyDescent="0.2">
      <c r="A15" s="4" t="s">
        <v>14</v>
      </c>
    </row>
    <row r="16" spans="1:1" ht="15" customHeight="1" x14ac:dyDescent="0.2">
      <c r="A16" s="5" t="s">
        <v>15</v>
      </c>
    </row>
    <row r="17" spans="1:1" ht="15" customHeight="1" x14ac:dyDescent="0.2">
      <c r="A17" s="6" t="s">
        <v>16</v>
      </c>
    </row>
    <row r="18" spans="1:1" ht="15" customHeight="1" x14ac:dyDescent="0.2">
      <c r="A18" s="7" t="s">
        <v>17</v>
      </c>
    </row>
  </sheetData>
  <sheetProtection sheet="1" formatColumns="0" formatRows="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zoomScaleNormal="100" workbookViewId="0"/>
  </sheetViews>
  <sheetFormatPr baseColWidth="10" defaultColWidth="8.6640625" defaultRowHeight="15" x14ac:dyDescent="0.2"/>
  <cols>
    <col min="1" max="1" width="52" customWidth="1"/>
    <col min="2" max="2" width="14" customWidth="1"/>
    <col min="3" max="4" width="46" customWidth="1"/>
    <col min="5" max="5" width="36" customWidth="1"/>
  </cols>
  <sheetData>
    <row r="1" spans="1:5" ht="17.25" customHeight="1" x14ac:dyDescent="0.2">
      <c r="A1" s="1" t="s">
        <v>18</v>
      </c>
    </row>
    <row r="2" spans="1:5" ht="15" customHeight="1" x14ac:dyDescent="0.2">
      <c r="A2" s="8" t="s">
        <v>19</v>
      </c>
    </row>
    <row r="4" spans="1:5" ht="26.25" customHeight="1" x14ac:dyDescent="0.2">
      <c r="A4" s="9" t="s">
        <v>20</v>
      </c>
      <c r="B4" s="9" t="s">
        <v>21</v>
      </c>
      <c r="C4" s="9" t="s">
        <v>22</v>
      </c>
      <c r="D4" s="9" t="s">
        <v>23</v>
      </c>
      <c r="E4" s="9" t="s">
        <v>24</v>
      </c>
    </row>
    <row r="5" spans="1:5" ht="33.75" customHeight="1" x14ac:dyDescent="0.2">
      <c r="A5" s="10" t="s">
        <v>25</v>
      </c>
      <c r="B5" s="11" t="s">
        <v>26</v>
      </c>
      <c r="C5" s="10" t="s">
        <v>27</v>
      </c>
      <c r="D5" s="10" t="s">
        <v>28</v>
      </c>
      <c r="E5" s="11" t="s">
        <v>29</v>
      </c>
    </row>
    <row r="6" spans="1:5" ht="33.75" customHeight="1" x14ac:dyDescent="0.2">
      <c r="A6" s="10" t="s">
        <v>30</v>
      </c>
      <c r="B6" s="11" t="s">
        <v>26</v>
      </c>
      <c r="C6" s="10" t="s">
        <v>31</v>
      </c>
      <c r="D6" s="10" t="s">
        <v>32</v>
      </c>
      <c r="E6" s="11" t="s">
        <v>33</v>
      </c>
    </row>
    <row r="7" spans="1:5" ht="33.75" customHeight="1" x14ac:dyDescent="0.2">
      <c r="A7" s="10" t="s">
        <v>34</v>
      </c>
      <c r="B7" s="11" t="s">
        <v>26</v>
      </c>
      <c r="C7" s="10" t="s">
        <v>35</v>
      </c>
      <c r="D7" s="10" t="s">
        <v>36</v>
      </c>
      <c r="E7" s="11" t="s">
        <v>37</v>
      </c>
    </row>
    <row r="8" spans="1:5" ht="33.75" customHeight="1" x14ac:dyDescent="0.2">
      <c r="A8" s="10" t="s">
        <v>38</v>
      </c>
      <c r="B8" s="11" t="s">
        <v>26</v>
      </c>
      <c r="C8" s="10" t="s">
        <v>39</v>
      </c>
      <c r="D8" s="10" t="s">
        <v>40</v>
      </c>
      <c r="E8" s="11" t="s">
        <v>41</v>
      </c>
    </row>
    <row r="9" spans="1:5" ht="33.75" customHeight="1" x14ac:dyDescent="0.2">
      <c r="A9" s="10" t="s">
        <v>42</v>
      </c>
      <c r="B9" s="11" t="s">
        <v>26</v>
      </c>
      <c r="C9" s="10" t="s">
        <v>43</v>
      </c>
      <c r="D9" s="10" t="s">
        <v>44</v>
      </c>
      <c r="E9" s="11" t="s">
        <v>45</v>
      </c>
    </row>
    <row r="10" spans="1:5" ht="61.5" customHeight="1" x14ac:dyDescent="0.2">
      <c r="A10" s="10" t="s">
        <v>46</v>
      </c>
      <c r="B10" s="11" t="s">
        <v>26</v>
      </c>
      <c r="C10" s="10" t="s">
        <v>47</v>
      </c>
      <c r="D10" s="10" t="s">
        <v>48</v>
      </c>
      <c r="E10" s="11" t="s">
        <v>49</v>
      </c>
    </row>
    <row r="12" spans="1:5" ht="15" customHeight="1" x14ac:dyDescent="0.2">
      <c r="A12" s="4" t="s">
        <v>50</v>
      </c>
      <c r="B12" s="6">
        <f>COUNTIF(B5:B10,"Có")</f>
        <v>0</v>
      </c>
    </row>
    <row r="13" spans="1:5" ht="15" customHeight="1" x14ac:dyDescent="0.2">
      <c r="A13" s="8" t="s">
        <v>51</v>
      </c>
    </row>
  </sheetData>
  <sheetProtection sheet="1" formatColumns="0" formatRows="0"/>
  <dataValidations count="1">
    <dataValidation type="list" allowBlank="1" sqref="B5:B10" xr:uid="{00000000-0002-0000-0100-000000000000}">
      <formula1>"Có,Chưa"</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9"/>
  <sheetViews>
    <sheetView zoomScaleNormal="100" workbookViewId="0">
      <pane ySplit="6" topLeftCell="A7" activePane="bottomLeft" state="frozen"/>
      <selection pane="bottomLeft"/>
    </sheetView>
  </sheetViews>
  <sheetFormatPr baseColWidth="10" defaultColWidth="8.6640625" defaultRowHeight="15" x14ac:dyDescent="0.2"/>
  <cols>
    <col min="1" max="1" width="6" customWidth="1"/>
    <col min="2" max="2" width="60" customWidth="1"/>
    <col min="3" max="5" width="14" customWidth="1"/>
    <col min="6" max="6" width="30" customWidth="1"/>
    <col min="7" max="7" width="34" customWidth="1"/>
  </cols>
  <sheetData>
    <row r="1" spans="1:7" ht="17.25" customHeight="1" x14ac:dyDescent="0.2">
      <c r="A1" s="1" t="s">
        <v>52</v>
      </c>
    </row>
    <row r="2" spans="1:7" ht="15" customHeight="1" x14ac:dyDescent="0.2">
      <c r="A2" s="8" t="s">
        <v>53</v>
      </c>
    </row>
    <row r="3" spans="1:7" ht="31.5" customHeight="1" x14ac:dyDescent="0.2">
      <c r="A3" s="101" t="s">
        <v>54</v>
      </c>
      <c r="B3" s="102"/>
      <c r="C3" s="102"/>
      <c r="D3" s="102"/>
      <c r="E3" s="102"/>
      <c r="F3" s="102"/>
      <c r="G3" s="102"/>
    </row>
    <row r="5" spans="1:7" ht="15" customHeight="1" x14ac:dyDescent="0.2">
      <c r="A5" s="4" t="s">
        <v>55</v>
      </c>
    </row>
    <row r="6" spans="1:7" ht="31.5" customHeight="1" x14ac:dyDescent="0.2">
      <c r="A6" s="13" t="s">
        <v>56</v>
      </c>
      <c r="B6" s="13" t="s">
        <v>57</v>
      </c>
      <c r="C6" s="13" t="s">
        <v>58</v>
      </c>
      <c r="D6" s="13" t="s">
        <v>59</v>
      </c>
      <c r="E6" s="13" t="s">
        <v>60</v>
      </c>
      <c r="F6" s="13" t="s">
        <v>61</v>
      </c>
      <c r="G6" s="13" t="s">
        <v>62</v>
      </c>
    </row>
    <row r="7" spans="1:7" ht="30" customHeight="1" x14ac:dyDescent="0.2">
      <c r="A7" s="14">
        <v>1</v>
      </c>
      <c r="B7" s="15" t="s">
        <v>63</v>
      </c>
      <c r="C7" s="16">
        <v>1000</v>
      </c>
      <c r="D7" s="16"/>
      <c r="E7" s="16"/>
      <c r="F7" s="17"/>
      <c r="G7" s="18" t="s">
        <v>64</v>
      </c>
    </row>
    <row r="8" spans="1:7" ht="30" customHeight="1" x14ac:dyDescent="0.2">
      <c r="A8" s="14">
        <v>2</v>
      </c>
      <c r="B8" s="15" t="s">
        <v>65</v>
      </c>
      <c r="C8" s="16">
        <v>300</v>
      </c>
      <c r="D8" s="16"/>
      <c r="E8" s="16"/>
      <c r="F8" s="17" t="s">
        <v>66</v>
      </c>
      <c r="G8" s="18" t="s">
        <v>67</v>
      </c>
    </row>
    <row r="9" spans="1:7" ht="30" customHeight="1" x14ac:dyDescent="0.2">
      <c r="A9" s="14">
        <v>3</v>
      </c>
      <c r="B9" s="15" t="s">
        <v>68</v>
      </c>
      <c r="C9" s="16">
        <v>360</v>
      </c>
      <c r="D9" s="16"/>
      <c r="E9" s="16"/>
      <c r="F9" s="17" t="s">
        <v>69</v>
      </c>
      <c r="G9" s="18" t="s">
        <v>70</v>
      </c>
    </row>
    <row r="10" spans="1:7" ht="30" customHeight="1" x14ac:dyDescent="0.2">
      <c r="A10" s="14">
        <v>4</v>
      </c>
      <c r="B10" s="15" t="s">
        <v>71</v>
      </c>
      <c r="C10" s="16">
        <v>50</v>
      </c>
      <c r="D10" s="16">
        <v>80</v>
      </c>
      <c r="E10" s="16">
        <v>110</v>
      </c>
      <c r="F10" s="17"/>
      <c r="G10" s="18" t="s">
        <v>72</v>
      </c>
    </row>
    <row r="11" spans="1:7" ht="30" customHeight="1" x14ac:dyDescent="0.2">
      <c r="A11" s="14">
        <v>5</v>
      </c>
      <c r="B11" s="15" t="s">
        <v>73</v>
      </c>
      <c r="C11" s="16">
        <v>240</v>
      </c>
      <c r="D11" s="16"/>
      <c r="E11" s="16"/>
      <c r="F11" s="17" t="s">
        <v>74</v>
      </c>
      <c r="G11" s="18" t="s">
        <v>75</v>
      </c>
    </row>
    <row r="12" spans="1:7" ht="30" customHeight="1" x14ac:dyDescent="0.2">
      <c r="A12" s="14">
        <v>6</v>
      </c>
      <c r="B12" s="15" t="s">
        <v>76</v>
      </c>
      <c r="C12" s="16"/>
      <c r="D12" s="16">
        <v>90</v>
      </c>
      <c r="E12" s="16"/>
      <c r="F12" s="17" t="s">
        <v>77</v>
      </c>
      <c r="G12" s="18" t="s">
        <v>78</v>
      </c>
    </row>
    <row r="13" spans="1:7" ht="30" customHeight="1" x14ac:dyDescent="0.2">
      <c r="A13" s="14">
        <v>7</v>
      </c>
      <c r="B13" s="15" t="s">
        <v>79</v>
      </c>
      <c r="C13" s="16">
        <v>15</v>
      </c>
      <c r="D13" s="16">
        <v>25</v>
      </c>
      <c r="E13" s="16">
        <v>35</v>
      </c>
      <c r="F13" s="17" t="s">
        <v>80</v>
      </c>
      <c r="G13" s="18" t="s">
        <v>81</v>
      </c>
    </row>
    <row r="14" spans="1:7" ht="30" customHeight="1" x14ac:dyDescent="0.2">
      <c r="A14" s="14">
        <v>8</v>
      </c>
      <c r="B14" s="15" t="s">
        <v>82</v>
      </c>
      <c r="C14" s="16">
        <v>10</v>
      </c>
      <c r="D14" s="16">
        <v>10</v>
      </c>
      <c r="E14" s="16">
        <v>10</v>
      </c>
      <c r="F14" s="17"/>
      <c r="G14" s="18" t="s">
        <v>83</v>
      </c>
    </row>
    <row r="15" spans="1:7" ht="30" customHeight="1" x14ac:dyDescent="0.2">
      <c r="A15" s="14">
        <v>9</v>
      </c>
      <c r="B15" s="15" t="s">
        <v>84</v>
      </c>
      <c r="C15" s="16">
        <v>120</v>
      </c>
      <c r="D15" s="16">
        <v>120</v>
      </c>
      <c r="E15" s="16">
        <v>120</v>
      </c>
      <c r="F15" s="17"/>
      <c r="G15" s="18" t="s">
        <v>85</v>
      </c>
    </row>
    <row r="16" spans="1:7" ht="30" customHeight="1" x14ac:dyDescent="0.2">
      <c r="A16" s="14">
        <v>10</v>
      </c>
      <c r="B16" s="15" t="s">
        <v>86</v>
      </c>
      <c r="C16" s="16">
        <v>20</v>
      </c>
      <c r="D16" s="16">
        <v>20</v>
      </c>
      <c r="E16" s="16">
        <v>20</v>
      </c>
      <c r="F16" s="17"/>
      <c r="G16" s="18" t="s">
        <v>85</v>
      </c>
    </row>
    <row r="17" spans="1:7" ht="30" customHeight="1" x14ac:dyDescent="0.2">
      <c r="A17" s="14">
        <v>11</v>
      </c>
      <c r="B17" s="15" t="s">
        <v>87</v>
      </c>
      <c r="C17" s="16">
        <v>0</v>
      </c>
      <c r="D17" s="16">
        <v>0</v>
      </c>
      <c r="E17" s="16">
        <v>0</v>
      </c>
      <c r="F17" s="17" t="s">
        <v>88</v>
      </c>
      <c r="G17" s="18" t="s">
        <v>89</v>
      </c>
    </row>
    <row r="19" spans="1:7" ht="16.5" customHeight="1" x14ac:dyDescent="0.2">
      <c r="A19" s="106" t="s">
        <v>90</v>
      </c>
      <c r="B19" s="102"/>
      <c r="C19" s="102"/>
      <c r="D19" s="102"/>
      <c r="E19" s="102"/>
      <c r="F19" s="102"/>
      <c r="G19" s="102"/>
    </row>
    <row r="20" spans="1:7" ht="15" customHeight="1" x14ac:dyDescent="0.2">
      <c r="B20" s="13" t="s">
        <v>91</v>
      </c>
      <c r="C20" s="13" t="s">
        <v>58</v>
      </c>
      <c r="D20" s="13" t="s">
        <v>59</v>
      </c>
      <c r="E20" s="13" t="s">
        <v>60</v>
      </c>
      <c r="F20" s="13" t="s">
        <v>92</v>
      </c>
      <c r="G20" s="13" t="s">
        <v>93</v>
      </c>
    </row>
    <row r="21" spans="1:7" ht="15" customHeight="1" x14ac:dyDescent="0.2">
      <c r="B21" s="20" t="s">
        <v>94</v>
      </c>
      <c r="C21" s="21">
        <f>50+240/12</f>
        <v>70</v>
      </c>
      <c r="D21" s="21">
        <f>80+240/12+90</f>
        <v>190</v>
      </c>
      <c r="E21" s="21">
        <f>110+240/12</f>
        <v>130</v>
      </c>
      <c r="F21" s="22">
        <f t="shared" ref="F21:F31" si="0">IF(COUNT(C21:E21)=0,"",SUM(C21:E21))</f>
        <v>390</v>
      </c>
    </row>
    <row r="22" spans="1:7" ht="15" customHeight="1" x14ac:dyDescent="0.2">
      <c r="B22" s="20" t="s">
        <v>95</v>
      </c>
      <c r="C22" s="21">
        <f>15+10</f>
        <v>25</v>
      </c>
      <c r="D22" s="21">
        <f>25+10</f>
        <v>35</v>
      </c>
      <c r="E22" s="21">
        <f>35+10</f>
        <v>45</v>
      </c>
      <c r="F22" s="22">
        <f t="shared" si="0"/>
        <v>105</v>
      </c>
    </row>
    <row r="23" spans="1:7" ht="15" customHeight="1" x14ac:dyDescent="0.2">
      <c r="B23" s="23" t="s">
        <v>96</v>
      </c>
      <c r="C23" s="21">
        <f>C21-C22</f>
        <v>45</v>
      </c>
      <c r="D23" s="21">
        <f>D21-D22</f>
        <v>155</v>
      </c>
      <c r="E23" s="21">
        <f>E21-E22</f>
        <v>85</v>
      </c>
      <c r="F23" s="24">
        <f t="shared" si="0"/>
        <v>285</v>
      </c>
      <c r="G23" s="25" t="str">
        <f>IF(COUNT(C21:E21,C22:E22,C23:E23)&lt;9,"Chưa điền",IF(AND(ABS(C23-(C21-C22))&lt;0.01,ABS(D23-(D21-D22))&lt;0.01,ABS(E23-(E21-E22))&lt;0.01),"Đạt","Xem lại phép trừ"))</f>
        <v>Đạt</v>
      </c>
    </row>
    <row r="24" spans="1:7" ht="15" customHeight="1" x14ac:dyDescent="0.2">
      <c r="B24" s="20" t="s">
        <v>97</v>
      </c>
      <c r="C24" s="21">
        <f>120+20</f>
        <v>140</v>
      </c>
      <c r="D24" s="21">
        <f>120+20</f>
        <v>140</v>
      </c>
      <c r="E24" s="21">
        <f>120+20</f>
        <v>140</v>
      </c>
      <c r="F24" s="22">
        <f t="shared" si="0"/>
        <v>420</v>
      </c>
    </row>
    <row r="25" spans="1:7" ht="15" customHeight="1" x14ac:dyDescent="0.2">
      <c r="B25" s="23" t="s">
        <v>98</v>
      </c>
      <c r="C25" s="21">
        <f>C23-C24</f>
        <v>-95</v>
      </c>
      <c r="D25" s="21">
        <f>D23-D24</f>
        <v>15</v>
      </c>
      <c r="E25" s="21">
        <f>E23-E24</f>
        <v>-55</v>
      </c>
      <c r="F25" s="24">
        <f t="shared" si="0"/>
        <v>-135</v>
      </c>
      <c r="G25" s="25" t="str">
        <f>IF(COUNT(C23:E23,C24:E24,C25:E25)&lt;9,"Chưa điền",IF(AND(ABS(C25-(C23-C24))&lt;0.01,ABS(D25-(D23-D24))&lt;0.01,ABS(E25-(E23-E24))&lt;0.01),"Đạt","Xem lại phép trừ"))</f>
        <v>Đạt</v>
      </c>
    </row>
    <row r="26" spans="1:7" ht="15" customHeight="1" x14ac:dyDescent="0.2">
      <c r="B26" s="20" t="s">
        <v>99</v>
      </c>
      <c r="C26" s="21">
        <f>360/36</f>
        <v>10</v>
      </c>
      <c r="D26" s="21">
        <f>360/36</f>
        <v>10</v>
      </c>
      <c r="E26" s="21">
        <f>360/36</f>
        <v>10</v>
      </c>
      <c r="F26" s="22">
        <f t="shared" si="0"/>
        <v>30</v>
      </c>
    </row>
    <row r="27" spans="1:7" ht="15" customHeight="1" x14ac:dyDescent="0.2">
      <c r="B27" s="23" t="s">
        <v>100</v>
      </c>
      <c r="C27" s="21">
        <f>C25-C26</f>
        <v>-105</v>
      </c>
      <c r="D27" s="21">
        <f>D25-D26</f>
        <v>5</v>
      </c>
      <c r="E27" s="21">
        <f>E25-E26</f>
        <v>-65</v>
      </c>
      <c r="F27" s="24">
        <f t="shared" si="0"/>
        <v>-165</v>
      </c>
      <c r="G27" s="25" t="str">
        <f>IF(COUNT(C25:E25,C26:E26,C27:E27)&lt;9,"Chưa điền",IF(AND(ABS(C27-(C25-C26))&lt;0.01,ABS(D27-(D25-D26))&lt;0.01,ABS(E27-(E25-E26))&lt;0.01),"Đạt","Xem lại phép trừ"))</f>
        <v>Đạt</v>
      </c>
    </row>
    <row r="28" spans="1:7" ht="15" customHeight="1" x14ac:dyDescent="0.2">
      <c r="B28" s="20" t="s">
        <v>101</v>
      </c>
      <c r="C28" s="21">
        <f>300*12%/12</f>
        <v>3</v>
      </c>
      <c r="D28" s="21">
        <f>300*12%/12</f>
        <v>3</v>
      </c>
      <c r="E28" s="21">
        <f>300*12%/12</f>
        <v>3</v>
      </c>
      <c r="F28" s="22">
        <f t="shared" si="0"/>
        <v>9</v>
      </c>
    </row>
    <row r="29" spans="1:7" ht="15" customHeight="1" x14ac:dyDescent="0.2">
      <c r="B29" s="23" t="s">
        <v>102</v>
      </c>
      <c r="C29" s="21">
        <f>C27-C28</f>
        <v>-108</v>
      </c>
      <c r="D29" s="21">
        <f>D27-D28</f>
        <v>2</v>
      </c>
      <c r="E29" s="21">
        <f>E27-E28</f>
        <v>-68</v>
      </c>
      <c r="F29" s="24">
        <f t="shared" si="0"/>
        <v>-174</v>
      </c>
      <c r="G29" s="25" t="str">
        <f>IF(COUNT(C27:E27,C28:E28,C29:E29)&lt;9,"Chưa điền",IF(AND(ABS(C29-(C27-C28))&lt;0.01,ABS(D29-(D27-D28))&lt;0.01,ABS(E29-(E27-E28))&lt;0.01),"Đạt","Xem lại phép trừ"))</f>
        <v>Đạt</v>
      </c>
    </row>
    <row r="30" spans="1:7" ht="15" customHeight="1" x14ac:dyDescent="0.2">
      <c r="B30" s="20" t="s">
        <v>87</v>
      </c>
      <c r="C30" s="21">
        <v>0</v>
      </c>
      <c r="D30" s="21">
        <v>0</v>
      </c>
      <c r="E30" s="21">
        <v>0</v>
      </c>
      <c r="F30" s="22">
        <f t="shared" si="0"/>
        <v>0</v>
      </c>
    </row>
    <row r="31" spans="1:7" ht="15" customHeight="1" x14ac:dyDescent="0.2">
      <c r="B31" s="23" t="s">
        <v>103</v>
      </c>
      <c r="C31" s="21">
        <f>C29-C30</f>
        <v>-108</v>
      </c>
      <c r="D31" s="21">
        <f>D29-D30</f>
        <v>2</v>
      </c>
      <c r="E31" s="21">
        <f>E29-E30</f>
        <v>-68</v>
      </c>
      <c r="F31" s="24">
        <f t="shared" si="0"/>
        <v>-174</v>
      </c>
      <c r="G31" s="25" t="str">
        <f>IF(COUNT(C29:E29,C30:E30,C31:E31)&lt;9,"Chưa điền",IF(AND(ABS(C31-(C29-C30))&lt;0.01,ABS(D31-(D29-D30))&lt;0.01,ABS(E31-(E29-E30))&lt;0.01),"Đạt","Xem lại phép trừ"))</f>
        <v>Đạt</v>
      </c>
    </row>
    <row r="32" spans="1:7" ht="15" customHeight="1" x14ac:dyDescent="0.2">
      <c r="B32" s="20" t="s">
        <v>104</v>
      </c>
      <c r="C32" s="26">
        <f>IFERROR(C23/C21,"")</f>
        <v>0.6428571428571429</v>
      </c>
      <c r="D32" s="26">
        <f>IFERROR(D23/D21,"")</f>
        <v>0.81578947368421051</v>
      </c>
      <c r="E32" s="26">
        <f>IFERROR(E23/E21,"")</f>
        <v>0.65384615384615385</v>
      </c>
      <c r="F32" s="26">
        <f>IFERROR(F23/F21,"")</f>
        <v>0.73076923076923073</v>
      </c>
    </row>
    <row r="33" spans="1:7" ht="45" customHeight="1" x14ac:dyDescent="0.2">
      <c r="B33" s="27" t="s">
        <v>105</v>
      </c>
      <c r="G33" s="28" t="str">
        <f>IF(COUNT(C31:E31)&lt;3,"Chưa điền",IF(ABS(F31+174)&lt;0.01,"Đạt: đã ghi theo kỳ","Chưa đúng: có giao dịch đang ghi theo ngày tiền vào ra (xem cột G, dòng 7–17)"))</f>
        <v>Đạt: đã ghi theo kỳ</v>
      </c>
    </row>
    <row r="34" spans="1:7" ht="16.5" customHeight="1" x14ac:dyDescent="0.2">
      <c r="A34" s="106" t="s">
        <v>106</v>
      </c>
      <c r="B34" s="102"/>
      <c r="C34" s="102"/>
      <c r="D34" s="102"/>
      <c r="E34" s="102"/>
      <c r="F34" s="102"/>
      <c r="G34" s="102"/>
    </row>
    <row r="35" spans="1:7" ht="15" customHeight="1" x14ac:dyDescent="0.2">
      <c r="B35" s="13" t="s">
        <v>91</v>
      </c>
      <c r="C35" s="13" t="s">
        <v>107</v>
      </c>
      <c r="G35" s="13" t="s">
        <v>93</v>
      </c>
    </row>
    <row r="36" spans="1:7" ht="15" customHeight="1" x14ac:dyDescent="0.2">
      <c r="B36" s="4" t="s">
        <v>108</v>
      </c>
    </row>
    <row r="37" spans="1:7" ht="15" customHeight="1" x14ac:dyDescent="0.2">
      <c r="B37" s="20" t="s">
        <v>109</v>
      </c>
      <c r="C37" s="21">
        <f>C70</f>
        <v>921</v>
      </c>
    </row>
    <row r="38" spans="1:7" ht="15" customHeight="1" x14ac:dyDescent="0.2">
      <c r="B38" s="20" t="s">
        <v>110</v>
      </c>
      <c r="C38" s="21">
        <v>90</v>
      </c>
    </row>
    <row r="39" spans="1:7" ht="15" customHeight="1" x14ac:dyDescent="0.2">
      <c r="B39" s="20" t="s">
        <v>111</v>
      </c>
      <c r="C39" s="21">
        <v>360</v>
      </c>
    </row>
    <row r="40" spans="1:7" ht="15" customHeight="1" x14ac:dyDescent="0.2">
      <c r="B40" s="20" t="s">
        <v>112</v>
      </c>
      <c r="C40" s="21">
        <f>-SUM(C26:E26)</f>
        <v>-30</v>
      </c>
    </row>
    <row r="41" spans="1:7" ht="15" customHeight="1" x14ac:dyDescent="0.2">
      <c r="B41" s="23" t="s">
        <v>113</v>
      </c>
      <c r="C41" s="21">
        <f>SUM(C37:C40)</f>
        <v>1341</v>
      </c>
      <c r="G41" s="25" t="str">
        <f>IF(COUNT(C37:C41)&lt;5,"Chưa điền",IF(ABS(C41-SUM(C37:C40))&lt;0.01,"Đạt","Xem lại phép cộng"))</f>
        <v>Đạt</v>
      </c>
    </row>
    <row r="42" spans="1:7" ht="15" customHeight="1" x14ac:dyDescent="0.2">
      <c r="B42" s="4" t="s">
        <v>114</v>
      </c>
    </row>
    <row r="43" spans="1:7" ht="15" customHeight="1" x14ac:dyDescent="0.2">
      <c r="B43" s="20" t="s">
        <v>115</v>
      </c>
      <c r="C43" s="21">
        <v>35</v>
      </c>
    </row>
    <row r="44" spans="1:7" ht="15" customHeight="1" x14ac:dyDescent="0.2">
      <c r="B44" s="20" t="s">
        <v>116</v>
      </c>
      <c r="C44" s="21">
        <f>240-240/12*3</f>
        <v>180</v>
      </c>
    </row>
    <row r="45" spans="1:7" ht="15" customHeight="1" x14ac:dyDescent="0.2">
      <c r="B45" s="20" t="s">
        <v>117</v>
      </c>
      <c r="C45" s="21">
        <v>300</v>
      </c>
    </row>
    <row r="46" spans="1:7" ht="15" customHeight="1" x14ac:dyDescent="0.2">
      <c r="B46" s="23" t="s">
        <v>118</v>
      </c>
      <c r="C46" s="21">
        <f>SUM(C43:C45)</f>
        <v>515</v>
      </c>
      <c r="G46" s="25" t="str">
        <f>IF(COUNT(C43:C46)&lt;4,"Chưa điền",IF(ABS(C46-SUM(C43:C45))&lt;0.01,"Đạt","Xem lại phép cộng"))</f>
        <v>Đạt</v>
      </c>
    </row>
    <row r="47" spans="1:7" ht="15" customHeight="1" x14ac:dyDescent="0.2">
      <c r="B47" s="4" t="s">
        <v>119</v>
      </c>
    </row>
    <row r="48" spans="1:7" ht="15" customHeight="1" x14ac:dyDescent="0.2">
      <c r="B48" s="20" t="s">
        <v>120</v>
      </c>
      <c r="C48" s="21">
        <v>1000</v>
      </c>
    </row>
    <row r="49" spans="1:7" ht="15" customHeight="1" x14ac:dyDescent="0.2">
      <c r="B49" s="20" t="s">
        <v>121</v>
      </c>
      <c r="C49" s="21">
        <f>F31</f>
        <v>-174</v>
      </c>
    </row>
    <row r="50" spans="1:7" ht="15" customHeight="1" x14ac:dyDescent="0.2">
      <c r="B50" s="23" t="s">
        <v>122</v>
      </c>
      <c r="C50" s="21">
        <f>SUM(C48:C49)</f>
        <v>826</v>
      </c>
      <c r="G50" s="25" t="str">
        <f>IF(COUNT(C48:C50)&lt;3,"Chưa điền",IF(ABS(C50-SUM(C48:C49))&lt;0.01,"Đạt","Xem lại phép cộng"))</f>
        <v>Đạt</v>
      </c>
    </row>
    <row r="51" spans="1:7" ht="15" customHeight="1" x14ac:dyDescent="0.2">
      <c r="B51" s="20" t="s">
        <v>123</v>
      </c>
      <c r="C51" s="21">
        <f>C46+C50</f>
        <v>1341</v>
      </c>
      <c r="G51" s="25" t="str">
        <f>IF(COUNT(C46,C50,C51)&lt;3,"Chưa điền",IF(ABS(C51-(C46+C50))&lt;0.01,"Đạt","Xem lại phép cộng"))</f>
        <v>Đạt</v>
      </c>
    </row>
    <row r="52" spans="1:7" ht="15" customHeight="1" x14ac:dyDescent="0.2">
      <c r="B52" s="23" t="s">
        <v>124</v>
      </c>
      <c r="G52" s="29" t="str">
        <f>IF(COUNT(C41,C51)&lt;2,"Chưa điền",IF(ABS(C41-C51)&lt;0.01,"Đạt: bảng đã cân","Chưa cân: tìm khoản ghi sai"))</f>
        <v>Đạt: bảng đã cân</v>
      </c>
    </row>
    <row r="53" spans="1:7" ht="15" customHeight="1" x14ac:dyDescent="0.2">
      <c r="B53" s="23" t="s">
        <v>125</v>
      </c>
      <c r="G53" s="29" t="str">
        <f>IF(COUNT(C49,F31)&lt;2,"Chưa điền",IF(ABS(C49-F31)&lt;0.01,"Đạt","Chưa khớp bài 1"))</f>
        <v>Đạt</v>
      </c>
    </row>
    <row r="55" spans="1:7" ht="16.5" customHeight="1" x14ac:dyDescent="0.2">
      <c r="A55" s="106" t="s">
        <v>126</v>
      </c>
      <c r="B55" s="102"/>
      <c r="C55" s="102"/>
      <c r="D55" s="102"/>
      <c r="E55" s="102"/>
      <c r="F55" s="102"/>
      <c r="G55" s="102"/>
    </row>
    <row r="56" spans="1:7" ht="15" customHeight="1" x14ac:dyDescent="0.2">
      <c r="B56" s="13" t="s">
        <v>91</v>
      </c>
      <c r="C56" s="13" t="s">
        <v>107</v>
      </c>
      <c r="G56" s="13" t="s">
        <v>93</v>
      </c>
    </row>
    <row r="57" spans="1:7" ht="15" customHeight="1" x14ac:dyDescent="0.2">
      <c r="B57" s="20" t="s">
        <v>103</v>
      </c>
      <c r="C57" s="21">
        <f>F31</f>
        <v>-174</v>
      </c>
    </row>
    <row r="58" spans="1:7" ht="16.5" customHeight="1" x14ac:dyDescent="0.2">
      <c r="B58" s="30" t="s">
        <v>127</v>
      </c>
      <c r="C58" s="21">
        <f>SUM(C26:E26)</f>
        <v>30</v>
      </c>
    </row>
    <row r="59" spans="1:7" ht="31.5" customHeight="1" x14ac:dyDescent="0.2">
      <c r="B59" s="30" t="s">
        <v>128</v>
      </c>
      <c r="C59" s="21">
        <f>-C38</f>
        <v>-90</v>
      </c>
    </row>
    <row r="60" spans="1:7" ht="31.5" customHeight="1" x14ac:dyDescent="0.2">
      <c r="B60" s="30" t="s">
        <v>129</v>
      </c>
      <c r="C60" s="21">
        <f>C43</f>
        <v>35</v>
      </c>
    </row>
    <row r="61" spans="1:7" ht="16.5" customHeight="1" x14ac:dyDescent="0.2">
      <c r="B61" s="30" t="s">
        <v>130</v>
      </c>
      <c r="C61" s="21">
        <f>C44</f>
        <v>180</v>
      </c>
    </row>
    <row r="62" spans="1:7" ht="15" customHeight="1" x14ac:dyDescent="0.2">
      <c r="B62" s="23" t="s">
        <v>131</v>
      </c>
      <c r="C62" s="21">
        <f>SUM(C57:C61)</f>
        <v>-19</v>
      </c>
      <c r="G62" s="25" t="str">
        <f>IF(COUNT(C57:C62)&lt;6,"Chưa điền",IF(ABS(C62-SUM(C57:C61))&lt;0.01,"Đạt","Xem lại phép cộng"))</f>
        <v>Đạt</v>
      </c>
    </row>
    <row r="63" spans="1:7" ht="15" customHeight="1" x14ac:dyDescent="0.2">
      <c r="B63" s="20" t="s">
        <v>132</v>
      </c>
      <c r="C63" s="21">
        <v>-360</v>
      </c>
    </row>
    <row r="64" spans="1:7" ht="15" customHeight="1" x14ac:dyDescent="0.2">
      <c r="B64" s="23" t="s">
        <v>133</v>
      </c>
      <c r="C64" s="21">
        <f>SUM(C63:C63)</f>
        <v>-360</v>
      </c>
      <c r="G64" s="25" t="str">
        <f>IF(COUNT(C63:C64)&lt;2,"Chưa điền",IF(ABS(C64-SUM(C63:C63))&lt;0.01,"Đạt","Xem lại phép cộng"))</f>
        <v>Đạt</v>
      </c>
    </row>
    <row r="65" spans="1:7" ht="15" customHeight="1" x14ac:dyDescent="0.2">
      <c r="B65" s="20" t="s">
        <v>134</v>
      </c>
      <c r="C65" s="21">
        <v>1000</v>
      </c>
    </row>
    <row r="66" spans="1:7" ht="15" customHeight="1" x14ac:dyDescent="0.2">
      <c r="B66" s="20" t="s">
        <v>135</v>
      </c>
      <c r="C66" s="21">
        <v>300</v>
      </c>
    </row>
    <row r="67" spans="1:7" ht="15" customHeight="1" x14ac:dyDescent="0.2">
      <c r="B67" s="23" t="s">
        <v>136</v>
      </c>
      <c r="C67" s="21">
        <f>SUM(C65:C66)</f>
        <v>1300</v>
      </c>
      <c r="G67" s="25" t="str">
        <f>IF(COUNT(C65:C67)&lt;3,"Chưa điền",IF(ABS(C67-SUM(C65:C66))&lt;0.01,"Đạt","Xem lại phép cộng"))</f>
        <v>Đạt</v>
      </c>
    </row>
    <row r="68" spans="1:7" ht="15" customHeight="1" x14ac:dyDescent="0.2">
      <c r="B68" s="23" t="s">
        <v>137</v>
      </c>
      <c r="C68" s="21">
        <f>C62+C64+C67</f>
        <v>921</v>
      </c>
      <c r="G68" s="25" t="str">
        <f>IF(COUNT(C62,C64,C67,C68)&lt;4,"Chưa điền",IF(ABS(C68-(C62+C64+C67))&lt;0.01,"Đạt","Xem lại phép cộng"))</f>
        <v>Đạt</v>
      </c>
    </row>
    <row r="69" spans="1:7" ht="15" customHeight="1" x14ac:dyDescent="0.2">
      <c r="B69" s="20" t="s">
        <v>138</v>
      </c>
      <c r="C69" s="31">
        <v>0</v>
      </c>
    </row>
    <row r="70" spans="1:7" ht="15" customHeight="1" x14ac:dyDescent="0.2">
      <c r="B70" s="23" t="s">
        <v>139</v>
      </c>
      <c r="C70" s="21">
        <f>C68+C69</f>
        <v>921</v>
      </c>
      <c r="G70" s="25" t="str">
        <f>IF(COUNT(C68:C70)&lt;3,"Chưa điền",IF(ABS(C70-(C68+C69))&lt;0.01,"Đạt","Xem lại phép cộng"))</f>
        <v>Đạt</v>
      </c>
    </row>
    <row r="71" spans="1:7" ht="31.5" customHeight="1" x14ac:dyDescent="0.2">
      <c r="B71" s="23" t="s">
        <v>140</v>
      </c>
      <c r="G71" s="28" t="str">
        <f>IF(COUNT(C70,C37)&lt;2,"Chưa điền",IF(ABS(C70-C37)&lt;0.01,"Đạt: ba báo cáo đã khớp","Chưa khớp: soát dấu +/− ở dòng 58–66, rồi soát dòng Tiền ở bảng cân đối"))</f>
        <v>Đạt: ba báo cáo đã khớp</v>
      </c>
    </row>
    <row r="72" spans="1:7" ht="15" customHeight="1" x14ac:dyDescent="0.2">
      <c r="B72" s="23" t="s">
        <v>141</v>
      </c>
      <c r="G72" s="29" t="str">
        <f>IF(COUNT(C57,F31)&lt;2,"Chưa điền",IF(ABS(C57-F31)&lt;0.01,"Đạt","Chưa khớp bài 1"))</f>
        <v>Đạt</v>
      </c>
    </row>
    <row r="74" spans="1:7" ht="15" customHeight="1" x14ac:dyDescent="0.2">
      <c r="A74" s="4" t="s">
        <v>142</v>
      </c>
    </row>
    <row r="75" spans="1:7" ht="48" customHeight="1" x14ac:dyDescent="0.2">
      <c r="B75" s="30" t="s">
        <v>143</v>
      </c>
      <c r="C75" s="103" t="s">
        <v>144</v>
      </c>
      <c r="D75" s="104"/>
      <c r="E75" s="104"/>
      <c r="F75" s="104"/>
      <c r="G75" s="105"/>
    </row>
    <row r="76" spans="1:7" ht="48" customHeight="1" x14ac:dyDescent="0.2">
      <c r="B76" s="30" t="s">
        <v>145</v>
      </c>
      <c r="C76" s="103" t="s">
        <v>146</v>
      </c>
      <c r="D76" s="104"/>
      <c r="E76" s="104"/>
      <c r="F76" s="104"/>
      <c r="G76" s="105"/>
    </row>
    <row r="77" spans="1:7" ht="48" customHeight="1" x14ac:dyDescent="0.2">
      <c r="B77" s="30" t="s">
        <v>147</v>
      </c>
      <c r="C77" s="103" t="s">
        <v>148</v>
      </c>
      <c r="D77" s="104"/>
      <c r="E77" s="104"/>
      <c r="F77" s="104"/>
      <c r="G77" s="105"/>
    </row>
    <row r="78" spans="1:7" ht="48" customHeight="1" x14ac:dyDescent="0.2">
      <c r="B78" s="30" t="s">
        <v>149</v>
      </c>
      <c r="C78" s="103" t="s">
        <v>150</v>
      </c>
      <c r="D78" s="104"/>
      <c r="E78" s="104"/>
      <c r="F78" s="104"/>
      <c r="G78" s="105"/>
    </row>
    <row r="80" spans="1:7" ht="15" customHeight="1" x14ac:dyDescent="0.2">
      <c r="A80" s="4" t="s">
        <v>151</v>
      </c>
    </row>
    <row r="81" spans="2:7" ht="31.5" customHeight="1" x14ac:dyDescent="0.2">
      <c r="B81" s="101" t="s">
        <v>152</v>
      </c>
      <c r="C81" s="102"/>
      <c r="D81" s="102"/>
      <c r="E81" s="102"/>
      <c r="F81" s="102"/>
      <c r="G81" s="102"/>
    </row>
    <row r="82" spans="2:7" ht="15" customHeight="1" x14ac:dyDescent="0.2">
      <c r="B82" s="20" t="s">
        <v>153</v>
      </c>
      <c r="C82" s="31">
        <v>360</v>
      </c>
    </row>
    <row r="83" spans="2:7" ht="15" customHeight="1" x14ac:dyDescent="0.2">
      <c r="B83" s="20" t="s">
        <v>154</v>
      </c>
      <c r="C83" s="31">
        <v>12</v>
      </c>
    </row>
    <row r="84" spans="2:7" ht="15" customHeight="1" x14ac:dyDescent="0.2">
      <c r="B84" s="20" t="s">
        <v>155</v>
      </c>
      <c r="C84" s="31">
        <v>36</v>
      </c>
    </row>
    <row r="85" spans="2:7" ht="15" customHeight="1" x14ac:dyDescent="0.2">
      <c r="B85" s="20" t="s">
        <v>156</v>
      </c>
      <c r="C85" s="32">
        <v>0.15</v>
      </c>
    </row>
    <row r="86" spans="2:7" ht="46.5" customHeight="1" x14ac:dyDescent="0.2">
      <c r="B86" s="30" t="s">
        <v>157</v>
      </c>
      <c r="C86" s="33">
        <f>PV(C85/12,C84,-C83)</f>
        <v>346.16720849906619</v>
      </c>
      <c r="G86" s="25" t="str">
        <f>IF(C86="","Chưa điền",IF(ABS(C86-PV(C85/12,C84,-C83))&lt;1,"Đạt","Xem lại"))</f>
        <v>Đạt</v>
      </c>
    </row>
    <row r="87" spans="2:7" ht="15" customHeight="1" x14ac:dyDescent="0.2">
      <c r="B87" s="20" t="s">
        <v>158</v>
      </c>
      <c r="C87" s="34" t="s">
        <v>159</v>
      </c>
      <c r="G87" s="25" t="str">
        <f>IF(C87="","Chưa điền",IF(C87=IF(PV(C85/12,C84,-C83)&lt;C82,"Thuê","Mua"),"Đạt","Xem lại"))</f>
        <v>Đạt</v>
      </c>
    </row>
    <row r="88" spans="2:7" ht="31.5" customHeight="1" x14ac:dyDescent="0.2">
      <c r="B88" s="30" t="s">
        <v>160</v>
      </c>
      <c r="C88" s="33">
        <f>PV(0.08/12,C84,-C83)</f>
        <v>382.94166612173467</v>
      </c>
      <c r="G88" s="25" t="str">
        <f>IF(C88="","Chưa điền",IF(ABS(C88-PV(0.08/12,C84,-C83))&lt;1,"Đạt","Xem lại"))</f>
        <v>Đạt</v>
      </c>
    </row>
    <row r="89" spans="2:7" ht="15" customHeight="1" x14ac:dyDescent="0.2">
      <c r="B89" s="20" t="s">
        <v>161</v>
      </c>
      <c r="C89" s="34" t="s">
        <v>162</v>
      </c>
      <c r="G89" s="25" t="str">
        <f>IF(C89="","Chưa điền",IF(C89=IF(PV(0.08/12,C84,-C83)&lt;C82,"Thuê","Mua"),"Đạt","Xem lại"))</f>
        <v>Đạt</v>
      </c>
    </row>
  </sheetData>
  <sheetProtection sheet="1" formatColumns="0" formatRows="0"/>
  <mergeCells count="9">
    <mergeCell ref="B81:G81"/>
    <mergeCell ref="C77:G77"/>
    <mergeCell ref="A3:G3"/>
    <mergeCell ref="A34:G34"/>
    <mergeCell ref="A55:G55"/>
    <mergeCell ref="C76:G76"/>
    <mergeCell ref="C75:G75"/>
    <mergeCell ref="A19:G19"/>
    <mergeCell ref="C78:G78"/>
  </mergeCells>
  <dataValidations count="1">
    <dataValidation type="list" allowBlank="1" sqref="C87 C89" xr:uid="{00000000-0002-0000-0200-000000000000}">
      <formula1>"Mua,Thuê"</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7"/>
  <sheetViews>
    <sheetView zoomScaleNormal="100" workbookViewId="0"/>
  </sheetViews>
  <sheetFormatPr baseColWidth="10" defaultColWidth="8.6640625" defaultRowHeight="15" x14ac:dyDescent="0.2"/>
  <cols>
    <col min="1" max="1" width="48" customWidth="1"/>
    <col min="2" max="2" width="22" customWidth="1"/>
    <col min="3" max="3" width="18" customWidth="1"/>
    <col min="4" max="4" width="60" customWidth="1"/>
    <col min="5" max="5" width="64" customWidth="1"/>
  </cols>
  <sheetData>
    <row r="1" spans="1:5" ht="17.25" customHeight="1" x14ac:dyDescent="0.2">
      <c r="A1" s="1" t="s">
        <v>163</v>
      </c>
    </row>
    <row r="2" spans="1:5" ht="15" customHeight="1" x14ac:dyDescent="0.2">
      <c r="A2" s="8" t="s">
        <v>164</v>
      </c>
    </row>
    <row r="3" spans="1:5" ht="31.5" customHeight="1" x14ac:dyDescent="0.2">
      <c r="A3" s="107" t="s">
        <v>165</v>
      </c>
      <c r="B3" s="102"/>
      <c r="C3" s="102"/>
      <c r="D3" s="102"/>
      <c r="E3" s="102"/>
    </row>
    <row r="4" spans="1:5" ht="15" customHeight="1" x14ac:dyDescent="0.2">
      <c r="A4" s="13" t="s">
        <v>166</v>
      </c>
      <c r="B4" s="13" t="s">
        <v>167</v>
      </c>
      <c r="C4" s="13" t="s">
        <v>168</v>
      </c>
      <c r="D4" s="13" t="s">
        <v>169</v>
      </c>
      <c r="E4" s="13" t="s">
        <v>170</v>
      </c>
    </row>
    <row r="5" spans="1:5" ht="30" customHeight="1" x14ac:dyDescent="0.2">
      <c r="A5" s="35" t="s">
        <v>171</v>
      </c>
      <c r="B5" s="36" t="s">
        <v>172</v>
      </c>
      <c r="C5" s="37"/>
      <c r="D5" s="38" t="s">
        <v>173</v>
      </c>
      <c r="E5" s="39" t="s">
        <v>174</v>
      </c>
    </row>
    <row r="6" spans="1:5" ht="30" customHeight="1" x14ac:dyDescent="0.2">
      <c r="A6" s="35" t="s">
        <v>175</v>
      </c>
      <c r="B6" s="40">
        <v>1</v>
      </c>
      <c r="C6" s="37" t="s">
        <v>176</v>
      </c>
      <c r="D6" s="38" t="s">
        <v>177</v>
      </c>
      <c r="E6" s="39" t="s">
        <v>178</v>
      </c>
    </row>
    <row r="7" spans="1:5" ht="43.5" customHeight="1" x14ac:dyDescent="0.2">
      <c r="A7" s="35" t="s">
        <v>179</v>
      </c>
      <c r="B7" s="40">
        <v>1200</v>
      </c>
      <c r="C7" s="37" t="s">
        <v>180</v>
      </c>
      <c r="D7" s="38" t="s">
        <v>181</v>
      </c>
      <c r="E7" s="39" t="s">
        <v>182</v>
      </c>
    </row>
    <row r="8" spans="1:5" ht="15.75" customHeight="1" x14ac:dyDescent="0.2">
      <c r="A8" s="35" t="s">
        <v>183</v>
      </c>
      <c r="B8" s="40">
        <v>400</v>
      </c>
      <c r="C8" s="37" t="s">
        <v>180</v>
      </c>
      <c r="D8" s="38" t="s">
        <v>184</v>
      </c>
      <c r="E8" s="39" t="s">
        <v>185</v>
      </c>
    </row>
    <row r="9" spans="1:5" ht="43.5" customHeight="1" x14ac:dyDescent="0.2">
      <c r="A9" s="35" t="s">
        <v>186</v>
      </c>
      <c r="B9" s="40">
        <v>0.1</v>
      </c>
      <c r="C9" s="37" t="s">
        <v>187</v>
      </c>
      <c r="D9" s="38" t="s">
        <v>188</v>
      </c>
      <c r="E9" s="39" t="s">
        <v>189</v>
      </c>
    </row>
    <row r="10" spans="1:5" ht="30" customHeight="1" x14ac:dyDescent="0.2">
      <c r="A10" s="35" t="s">
        <v>190</v>
      </c>
      <c r="B10" s="40">
        <v>0.5</v>
      </c>
      <c r="C10" s="37" t="s">
        <v>187</v>
      </c>
      <c r="D10" s="38" t="s">
        <v>191</v>
      </c>
      <c r="E10" s="39" t="s">
        <v>192</v>
      </c>
    </row>
    <row r="11" spans="1:5" ht="30" customHeight="1" x14ac:dyDescent="0.2">
      <c r="A11" s="35" t="s">
        <v>193</v>
      </c>
      <c r="B11" s="40">
        <v>26170</v>
      </c>
      <c r="C11" s="37" t="s">
        <v>194</v>
      </c>
      <c r="D11" s="38" t="s">
        <v>195</v>
      </c>
      <c r="E11" s="39" t="s">
        <v>196</v>
      </c>
    </row>
    <row r="12" spans="1:5" ht="30" customHeight="1" x14ac:dyDescent="0.2">
      <c r="A12" s="35" t="s">
        <v>197</v>
      </c>
      <c r="B12" s="41">
        <v>0.05</v>
      </c>
      <c r="C12" s="37" t="s">
        <v>198</v>
      </c>
      <c r="D12" s="38" t="s">
        <v>199</v>
      </c>
      <c r="E12" s="39" t="s">
        <v>200</v>
      </c>
    </row>
    <row r="13" spans="1:5" ht="43.5" customHeight="1" x14ac:dyDescent="0.2">
      <c r="A13" s="35" t="s">
        <v>201</v>
      </c>
      <c r="B13" s="40">
        <v>20</v>
      </c>
      <c r="C13" s="37" t="s">
        <v>202</v>
      </c>
      <c r="D13" s="38" t="s">
        <v>203</v>
      </c>
      <c r="E13" s="39" t="s">
        <v>204</v>
      </c>
    </row>
    <row r="14" spans="1:5" ht="30" customHeight="1" x14ac:dyDescent="0.2">
      <c r="A14" s="35" t="s">
        <v>205</v>
      </c>
      <c r="B14" s="41">
        <v>0.02</v>
      </c>
      <c r="C14" s="37" t="s">
        <v>198</v>
      </c>
      <c r="D14" s="38" t="s">
        <v>206</v>
      </c>
      <c r="E14" s="39" t="s">
        <v>207</v>
      </c>
    </row>
    <row r="15" spans="1:5" ht="15.75" customHeight="1" x14ac:dyDescent="0.2">
      <c r="A15" s="35" t="s">
        <v>208</v>
      </c>
      <c r="B15" s="40">
        <v>1</v>
      </c>
      <c r="C15" s="37" t="s">
        <v>209</v>
      </c>
      <c r="D15" s="38" t="s">
        <v>210</v>
      </c>
      <c r="E15" s="39" t="s">
        <v>211</v>
      </c>
    </row>
    <row r="16" spans="1:5" ht="30" customHeight="1" x14ac:dyDescent="0.2">
      <c r="A16" s="35" t="s">
        <v>212</v>
      </c>
      <c r="B16" s="40">
        <v>40000</v>
      </c>
      <c r="C16" s="37" t="s">
        <v>213</v>
      </c>
      <c r="D16" s="38" t="s">
        <v>214</v>
      </c>
      <c r="E16" s="39" t="s">
        <v>215</v>
      </c>
    </row>
    <row r="17" spans="1:5" ht="30" customHeight="1" x14ac:dyDescent="0.2">
      <c r="A17" s="35" t="s">
        <v>216</v>
      </c>
      <c r="B17" s="40">
        <v>5</v>
      </c>
      <c r="C17" s="37" t="s">
        <v>202</v>
      </c>
      <c r="D17" s="38" t="s">
        <v>217</v>
      </c>
      <c r="E17" s="39" t="s">
        <v>218</v>
      </c>
    </row>
    <row r="18" spans="1:5" ht="15.75" customHeight="1" x14ac:dyDescent="0.2">
      <c r="A18" s="35" t="s">
        <v>219</v>
      </c>
      <c r="B18" s="40">
        <v>5</v>
      </c>
      <c r="C18" s="37" t="s">
        <v>202</v>
      </c>
      <c r="D18" s="38" t="s">
        <v>220</v>
      </c>
      <c r="E18" s="39" t="s">
        <v>221</v>
      </c>
    </row>
    <row r="20" spans="1:5" ht="15" customHeight="1" x14ac:dyDescent="0.2">
      <c r="A20" s="4" t="s">
        <v>222</v>
      </c>
    </row>
    <row r="21" spans="1:5" ht="15" customHeight="1" x14ac:dyDescent="0.2">
      <c r="A21" s="42" t="s">
        <v>223</v>
      </c>
      <c r="B21" s="43">
        <f>IFERROR(B6*(B7*B9+B8*B10)/1000000*B11*(1+B12),0)</f>
        <v>8.7931200000000018</v>
      </c>
    </row>
    <row r="22" spans="1:5" ht="15" customHeight="1" x14ac:dyDescent="0.2">
      <c r="A22" s="42" t="s">
        <v>224</v>
      </c>
      <c r="B22" s="43">
        <f>IFERROR(B14*B15/60*B16,0)</f>
        <v>13.333333333333332</v>
      </c>
    </row>
    <row r="23" spans="1:5" ht="15" customHeight="1" x14ac:dyDescent="0.2">
      <c r="A23" s="42" t="s">
        <v>225</v>
      </c>
      <c r="B23" s="43">
        <f>B13+B17+B18</f>
        <v>30</v>
      </c>
    </row>
    <row r="24" spans="1:5" ht="15.75" customHeight="1" x14ac:dyDescent="0.2">
      <c r="A24" s="42" t="s">
        <v>226</v>
      </c>
      <c r="B24" s="44">
        <f>B21+B22+B23</f>
        <v>52.12645333333333</v>
      </c>
      <c r="E24" s="12" t="s">
        <v>227</v>
      </c>
    </row>
    <row r="25" spans="1:5" ht="15" customHeight="1" x14ac:dyDescent="0.2">
      <c r="A25" s="42" t="s">
        <v>228</v>
      </c>
      <c r="B25" s="45">
        <f>IFERROR((B24-B21)/B21,0)</f>
        <v>4.9280952987487172</v>
      </c>
      <c r="C25" s="46" t="s">
        <v>229</v>
      </c>
    </row>
    <row r="26" spans="1:5" ht="15" customHeight="1" x14ac:dyDescent="0.2">
      <c r="A26" s="42" t="s">
        <v>230</v>
      </c>
      <c r="B26" s="43">
        <f>3*B24</f>
        <v>156.37935999999999</v>
      </c>
      <c r="C26" s="46" t="s">
        <v>231</v>
      </c>
    </row>
    <row r="27" spans="1:5" ht="15" customHeight="1" x14ac:dyDescent="0.2">
      <c r="A27" s="42" t="s">
        <v>232</v>
      </c>
      <c r="B27" s="43">
        <f>B24/(1-0.6)</f>
        <v>130.31613333333331</v>
      </c>
      <c r="C27" s="46" t="s">
        <v>233</v>
      </c>
    </row>
  </sheetData>
  <sheetProtection sheet="1" formatColumns="0" formatRows="0"/>
  <mergeCells count="1">
    <mergeCell ref="A3:E3"/>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0"/>
  <sheetViews>
    <sheetView zoomScaleNormal="100" workbookViewId="0"/>
  </sheetViews>
  <sheetFormatPr baseColWidth="10" defaultColWidth="8.6640625" defaultRowHeight="15" x14ac:dyDescent="0.2"/>
  <cols>
    <col min="1" max="1" width="44" customWidth="1"/>
    <col min="2" max="3" width="30" customWidth="1"/>
    <col min="4" max="4" width="22" customWidth="1"/>
    <col min="5" max="5" width="20" customWidth="1"/>
    <col min="6" max="6" width="18" customWidth="1"/>
    <col min="7" max="7" width="22" customWidth="1"/>
    <col min="8" max="8" width="20" customWidth="1"/>
    <col min="9" max="9" width="46" customWidth="1"/>
  </cols>
  <sheetData>
    <row r="1" spans="1:9" ht="17.25" customHeight="1" x14ac:dyDescent="0.2">
      <c r="A1" s="1" t="s">
        <v>234</v>
      </c>
    </row>
    <row r="2" spans="1:9" ht="15" customHeight="1" x14ac:dyDescent="0.2">
      <c r="A2" s="8" t="s">
        <v>235</v>
      </c>
    </row>
    <row r="4" spans="1:9" ht="15" customHeight="1" x14ac:dyDescent="0.2">
      <c r="A4" s="13" t="s">
        <v>236</v>
      </c>
      <c r="B4" s="13" t="s">
        <v>167</v>
      </c>
      <c r="C4" s="13" t="s">
        <v>61</v>
      </c>
      <c r="D4" s="13" t="s">
        <v>169</v>
      </c>
    </row>
    <row r="5" spans="1:9" ht="48" customHeight="1" x14ac:dyDescent="0.2">
      <c r="A5" s="10" t="s">
        <v>237</v>
      </c>
      <c r="B5" s="47" t="s">
        <v>238</v>
      </c>
      <c r="C5" s="3" t="s">
        <v>239</v>
      </c>
      <c r="D5" s="48" t="s">
        <v>240</v>
      </c>
    </row>
    <row r="6" spans="1:9" ht="63" customHeight="1" x14ac:dyDescent="0.2">
      <c r="A6" s="10" t="s">
        <v>241</v>
      </c>
      <c r="B6" s="47" t="s">
        <v>242</v>
      </c>
      <c r="C6" s="3" t="s">
        <v>243</v>
      </c>
      <c r="D6" s="48" t="s">
        <v>244</v>
      </c>
    </row>
    <row r="7" spans="1:9" ht="48" customHeight="1" x14ac:dyDescent="0.2">
      <c r="A7" s="10" t="s">
        <v>245</v>
      </c>
      <c r="B7" s="47" t="s">
        <v>246</v>
      </c>
      <c r="D7" s="48" t="s">
        <v>247</v>
      </c>
    </row>
    <row r="8" spans="1:9" ht="48" customHeight="1" x14ac:dyDescent="0.2">
      <c r="A8" s="10" t="s">
        <v>248</v>
      </c>
      <c r="B8" s="47" t="s">
        <v>249</v>
      </c>
      <c r="C8" s="3" t="s">
        <v>250</v>
      </c>
      <c r="D8" s="48" t="s">
        <v>251</v>
      </c>
    </row>
    <row r="9" spans="1:9" ht="15" customHeight="1" x14ac:dyDescent="0.2">
      <c r="A9" s="42" t="s">
        <v>252</v>
      </c>
      <c r="B9" s="49">
        <v>99000</v>
      </c>
      <c r="C9" t="s">
        <v>202</v>
      </c>
      <c r="D9" s="48" t="s">
        <v>253</v>
      </c>
    </row>
    <row r="10" spans="1:9" ht="15" customHeight="1" x14ac:dyDescent="0.2">
      <c r="A10" s="42" t="s">
        <v>254</v>
      </c>
      <c r="B10" s="49">
        <v>300</v>
      </c>
      <c r="C10" t="s">
        <v>255</v>
      </c>
      <c r="D10" s="48" t="s">
        <v>256</v>
      </c>
    </row>
    <row r="11" spans="1:9" ht="15" customHeight="1" x14ac:dyDescent="0.2">
      <c r="A11" s="42" t="s">
        <v>257</v>
      </c>
      <c r="B11" s="49">
        <v>300</v>
      </c>
      <c r="C11" t="s">
        <v>258</v>
      </c>
      <c r="D11" s="48" t="s">
        <v>259</v>
      </c>
    </row>
    <row r="12" spans="1:9" ht="31.5" customHeight="1" x14ac:dyDescent="0.2">
      <c r="A12" s="10" t="s">
        <v>260</v>
      </c>
      <c r="B12" s="49">
        <v>99000</v>
      </c>
      <c r="C12" t="s">
        <v>261</v>
      </c>
      <c r="D12" s="48" t="s">
        <v>262</v>
      </c>
    </row>
    <row r="14" spans="1:9" ht="46.5" customHeight="1" x14ac:dyDescent="0.2">
      <c r="A14" s="13" t="s">
        <v>263</v>
      </c>
      <c r="B14" s="50" t="s">
        <v>264</v>
      </c>
      <c r="C14" s="50" t="s">
        <v>265</v>
      </c>
      <c r="D14" s="13" t="s">
        <v>266</v>
      </c>
      <c r="E14" s="50" t="s">
        <v>267</v>
      </c>
      <c r="F14" s="13" t="s">
        <v>268</v>
      </c>
      <c r="G14" s="13" t="s">
        <v>269</v>
      </c>
      <c r="H14" s="13" t="s">
        <v>270</v>
      </c>
      <c r="I14" s="13" t="s">
        <v>169</v>
      </c>
    </row>
    <row r="15" spans="1:9" ht="15" customHeight="1" x14ac:dyDescent="0.2">
      <c r="A15" s="42" t="s">
        <v>271</v>
      </c>
      <c r="B15" s="51">
        <v>0.85</v>
      </c>
      <c r="C15" s="52">
        <v>120</v>
      </c>
      <c r="D15" s="43">
        <f>B9+MAX(0,C15-B10)*B11</f>
        <v>99000</v>
      </c>
      <c r="E15" s="43">
        <f>C15*'1_Chi phí mỗi việc'!B24</f>
        <v>6255.1743999999999</v>
      </c>
      <c r="F15" s="45">
        <f>IFERROR((D15-E15)/D15,0)</f>
        <v>0.93681642020202016</v>
      </c>
      <c r="G15" s="43">
        <f>B12</f>
        <v>99000</v>
      </c>
      <c r="H15" s="45">
        <f>IFERROR((G15-E15)/G15,0)</f>
        <v>0.93681642020202016</v>
      </c>
      <c r="I15" s="48" t="s">
        <v>272</v>
      </c>
    </row>
    <row r="16" spans="1:9" ht="15" customHeight="1" x14ac:dyDescent="0.2">
      <c r="A16" s="42" t="s">
        <v>273</v>
      </c>
      <c r="B16" s="51">
        <v>0.15</v>
      </c>
      <c r="C16" s="52">
        <v>1200</v>
      </c>
      <c r="D16" s="43">
        <f>B9+MAX(0,C16-B10)*B11</f>
        <v>369000</v>
      </c>
      <c r="E16" s="43">
        <f>C16*'1_Chi phí mỗi việc'!B24</f>
        <v>62551.743999999999</v>
      </c>
      <c r="F16" s="45">
        <f>IFERROR((D16-E16)/D16,0)</f>
        <v>0.83048307859078585</v>
      </c>
      <c r="G16" s="43">
        <f>B12</f>
        <v>99000</v>
      </c>
      <c r="H16" s="45">
        <f>IFERROR((G16-E16)/G16,0)</f>
        <v>0.36816420202020206</v>
      </c>
      <c r="I16" s="48" t="s">
        <v>274</v>
      </c>
    </row>
    <row r="17" spans="1:8" ht="15" customHeight="1" x14ac:dyDescent="0.2">
      <c r="A17" s="4" t="s">
        <v>275</v>
      </c>
      <c r="B17" s="45">
        <f>B15+B16</f>
        <v>1</v>
      </c>
      <c r="C17" s="53">
        <f>SUMPRODUCT(B15:B16,C15:C16)</f>
        <v>282</v>
      </c>
      <c r="D17" s="44">
        <f>SUMPRODUCT($B15:$B16,D15:D16)</f>
        <v>139500</v>
      </c>
      <c r="E17" s="44">
        <f>SUMPRODUCT($B15:$B16,E15:E16)</f>
        <v>14699.65984</v>
      </c>
      <c r="F17" s="54">
        <f>IFERROR((D17-E17)/D17,0)</f>
        <v>0.89462609433691753</v>
      </c>
      <c r="G17" s="44">
        <f>SUMPRODUCT($B15:$B16,G15:G16)</f>
        <v>99000</v>
      </c>
      <c r="H17" s="54">
        <f>IFERROR((G17-E17)/G17,0)</f>
        <v>0.8515185874747474</v>
      </c>
    </row>
    <row r="18" spans="1:8" ht="15" customHeight="1" x14ac:dyDescent="0.2">
      <c r="A18" t="s">
        <v>276</v>
      </c>
      <c r="B18" s="55" t="str">
        <f>IF(B17=0,"Chưa điền",IF(ABS(B17-1)&lt;0.001,"Đạt","Sai: tổng khác 100%"))</f>
        <v>Đạt</v>
      </c>
    </row>
    <row r="19" spans="1:8" ht="15" customHeight="1" x14ac:dyDescent="0.2">
      <c r="A19" t="s">
        <v>277</v>
      </c>
      <c r="B19" s="55" t="str">
        <f>IF(B11=0,"Chưa điền",IF(B11&gt;='1_Chi phí mỗi việc'!B26,"Đạt","Thấp hơn giá sàn"))</f>
        <v>Đạt</v>
      </c>
    </row>
    <row r="21" spans="1:8" ht="15" customHeight="1" x14ac:dyDescent="0.2">
      <c r="A21" t="s">
        <v>278</v>
      </c>
      <c r="B21" s="54">
        <f>IFERROR(B16*D16/D17,0)</f>
        <v>0.39677419354838711</v>
      </c>
    </row>
    <row r="22" spans="1:8" ht="15" customHeight="1" x14ac:dyDescent="0.2">
      <c r="A22" t="s">
        <v>279</v>
      </c>
      <c r="B22" s="54">
        <f>IFERROR(B16*MAX(0,C16-B10)*B11/D17,0)</f>
        <v>0.29032258064516131</v>
      </c>
    </row>
    <row r="23" spans="1:8" ht="15" customHeight="1" x14ac:dyDescent="0.2">
      <c r="A23" t="s">
        <v>280</v>
      </c>
      <c r="B23" s="55" t="str">
        <f>IF(D17=0,"Chưa điền",IF(B21&gt;0.5,"Trên 50% doanh thu đến từ khách dùng nhiều: xem tình huống đặc biệt ở trang 5","Đạt"))</f>
        <v>Đạt</v>
      </c>
    </row>
    <row r="25" spans="1:8" ht="15" customHeight="1" x14ac:dyDescent="0.2">
      <c r="A25" s="4" t="s">
        <v>281</v>
      </c>
    </row>
    <row r="26" spans="1:8" ht="15" customHeight="1" x14ac:dyDescent="0.2">
      <c r="A26" s="20" t="s">
        <v>282</v>
      </c>
      <c r="B26" s="21">
        <v>3000000</v>
      </c>
      <c r="C26" s="20" t="s">
        <v>261</v>
      </c>
      <c r="D26" s="34" t="s">
        <v>283</v>
      </c>
    </row>
    <row r="27" spans="1:8" ht="15" customHeight="1" x14ac:dyDescent="0.2">
      <c r="A27" s="20" t="s">
        <v>284</v>
      </c>
      <c r="B27" s="56">
        <v>0</v>
      </c>
      <c r="C27" s="20" t="s">
        <v>285</v>
      </c>
      <c r="D27" s="34" t="s">
        <v>286</v>
      </c>
    </row>
    <row r="28" spans="1:8" ht="45" customHeight="1" x14ac:dyDescent="0.2">
      <c r="A28" s="13" t="s">
        <v>263</v>
      </c>
      <c r="B28" s="13" t="s">
        <v>287</v>
      </c>
      <c r="C28" s="13" t="s">
        <v>288</v>
      </c>
      <c r="D28" s="13" t="s">
        <v>289</v>
      </c>
      <c r="E28" s="13" t="s">
        <v>290</v>
      </c>
      <c r="F28" s="13" t="s">
        <v>291</v>
      </c>
    </row>
    <row r="29" spans="1:8" ht="30" customHeight="1" x14ac:dyDescent="0.2">
      <c r="A29" s="20" t="s">
        <v>271</v>
      </c>
      <c r="B29" s="22">
        <f>D15</f>
        <v>99000</v>
      </c>
      <c r="C29" s="26">
        <f>IFERROR(B29/$B$26,"")</f>
        <v>3.3000000000000002E-2</v>
      </c>
      <c r="D29" s="57" t="str">
        <f>IF(C29="","",IF(C29&lt;0.5,"Dưới 50%: còn dư địa",IF(C29&lt;=0.7,"Trong vùng 50–70%","Trên 70%: khách thà thuê người? Xem dòng 34")))</f>
        <v>Dưới 50%: còn dư địa</v>
      </c>
      <c r="E29" s="58">
        <f>IFERROR(E15/B29,"")</f>
        <v>6.3183579797979797E-2</v>
      </c>
      <c r="F29" s="25" t="str">
        <f>IF(E29="","",IF(E29&lt;0.3,"Ổn (dưới 0,3)",IF(E29&lt;=0.6,"Đáng lo (0,3–0,6)","Nguy (trên 0,6)")))</f>
        <v>Ổn (dưới 0,3)</v>
      </c>
    </row>
    <row r="30" spans="1:8" ht="30" customHeight="1" x14ac:dyDescent="0.2">
      <c r="A30" s="20" t="s">
        <v>292</v>
      </c>
      <c r="B30" s="22">
        <f>D16</f>
        <v>369000</v>
      </c>
      <c r="C30" s="26">
        <f>IFERROR(B30/$B$26,"")</f>
        <v>0.123</v>
      </c>
      <c r="D30" s="57" t="str">
        <f>IF(C30="","",IF(C30&lt;0.5,"Dưới 50%: còn dư địa",IF(C30&lt;=0.7,"Trong vùng 50–70%","Trên 70%: khách thà thuê người? Xem dòng 34")))</f>
        <v>Dưới 50%: còn dư địa</v>
      </c>
      <c r="E30" s="58">
        <f>IFERROR(E16/B30,"")</f>
        <v>0.16951692140921409</v>
      </c>
      <c r="F30" s="25" t="str">
        <f>IF(E30="","",IF(E30&lt;0.3,"Ổn (dưới 0,3)",IF(E30&lt;=0.6,"Đáng lo (0,3–0,6)","Nguy (trên 0,6)")))</f>
        <v>Ổn (dưới 0,3)</v>
      </c>
    </row>
    <row r="31" spans="1:8" ht="30" customHeight="1" x14ac:dyDescent="0.2">
      <c r="A31" s="20" t="s">
        <v>293</v>
      </c>
      <c r="B31" s="22">
        <f>G16</f>
        <v>99000</v>
      </c>
      <c r="C31" s="26">
        <f>IFERROR(B31/$B$26,"")</f>
        <v>3.3000000000000002E-2</v>
      </c>
      <c r="D31" s="57" t="str">
        <f>IF(C31="","",IF(C31&lt;0.5,"Dưới 50%: còn dư địa",IF(C31&lt;=0.7,"Trong vùng 50–70%","Trên 70%: khách thà thuê người? Xem dòng 34")))</f>
        <v>Dưới 50%: còn dư địa</v>
      </c>
      <c r="E31" s="58">
        <f>IFERROR(E16/B31,"")</f>
        <v>0.63183579797979794</v>
      </c>
      <c r="F31" s="25" t="str">
        <f>IF(E31="","",IF(E31&lt;0.3,"Ổn (dưới 0,3)",IF(E31&lt;=0.6,"Đáng lo (0,3–0,6)","Nguy (trên 0,6)")))</f>
        <v>Nguy (trên 0,6)</v>
      </c>
    </row>
    <row r="32" spans="1:8" ht="15" customHeight="1" x14ac:dyDescent="0.2">
      <c r="A32" s="23" t="s">
        <v>294</v>
      </c>
      <c r="B32" s="59">
        <f>IFERROR((D17*(1-B27)-E17)/D17,"")</f>
        <v>0.89462609433691753</v>
      </c>
      <c r="C32" s="25" t="str">
        <f>IF(B32="","",IF(B32&gt;0.5,"Ổn",IF(B32&gt;=0.35,"Đáng lo","Nguy")))</f>
        <v>Ổn</v>
      </c>
      <c r="D32" s="46" t="s">
        <v>295</v>
      </c>
    </row>
    <row r="33" spans="1:9" ht="30" customHeight="1" x14ac:dyDescent="0.2">
      <c r="A33" s="101" t="s">
        <v>296</v>
      </c>
      <c r="B33" s="102"/>
      <c r="C33" s="102"/>
      <c r="D33" s="102"/>
      <c r="E33" s="102"/>
      <c r="F33" s="102"/>
      <c r="G33" s="102"/>
      <c r="H33" s="102"/>
      <c r="I33" s="102"/>
    </row>
    <row r="34" spans="1:9" ht="30" customHeight="1" x14ac:dyDescent="0.2">
      <c r="A34" s="101" t="s">
        <v>297</v>
      </c>
      <c r="B34" s="102"/>
      <c r="C34" s="102"/>
      <c r="D34" s="102"/>
      <c r="E34" s="102"/>
      <c r="F34" s="102"/>
      <c r="G34" s="102"/>
      <c r="H34" s="102"/>
      <c r="I34" s="102"/>
    </row>
    <row r="35" spans="1:9" ht="15" customHeight="1" x14ac:dyDescent="0.2">
      <c r="A35" s="4" t="s">
        <v>298</v>
      </c>
    </row>
    <row r="36" spans="1:9" ht="15" customHeight="1" x14ac:dyDescent="0.2">
      <c r="A36" s="20" t="s">
        <v>299</v>
      </c>
      <c r="B36" s="101" t="s">
        <v>300</v>
      </c>
      <c r="C36" s="102"/>
      <c r="D36" s="102"/>
      <c r="E36" s="102"/>
      <c r="F36" s="102"/>
      <c r="G36" s="102"/>
      <c r="H36" s="102"/>
      <c r="I36" s="102"/>
    </row>
    <row r="37" spans="1:9" ht="30" customHeight="1" x14ac:dyDescent="0.2">
      <c r="A37" s="20" t="s">
        <v>301</v>
      </c>
      <c r="B37" s="101" t="s">
        <v>302</v>
      </c>
      <c r="C37" s="102"/>
      <c r="D37" s="102"/>
      <c r="E37" s="102"/>
      <c r="F37" s="102"/>
      <c r="G37" s="102"/>
      <c r="H37" s="102"/>
      <c r="I37" s="102"/>
    </row>
    <row r="38" spans="1:9" ht="15" customHeight="1" x14ac:dyDescent="0.2">
      <c r="A38" s="20" t="s">
        <v>303</v>
      </c>
      <c r="B38" s="101" t="s">
        <v>304</v>
      </c>
      <c r="C38" s="102"/>
      <c r="D38" s="102"/>
      <c r="E38" s="102"/>
      <c r="F38" s="102"/>
      <c r="G38" s="102"/>
      <c r="H38" s="102"/>
      <c r="I38" s="102"/>
    </row>
    <row r="39" spans="1:9" ht="15" customHeight="1" x14ac:dyDescent="0.2">
      <c r="A39" s="20" t="s">
        <v>305</v>
      </c>
      <c r="B39" s="101" t="s">
        <v>306</v>
      </c>
      <c r="C39" s="102"/>
      <c r="D39" s="102"/>
      <c r="E39" s="102"/>
      <c r="F39" s="102"/>
      <c r="G39" s="102"/>
      <c r="H39" s="102"/>
      <c r="I39" s="102"/>
    </row>
    <row r="40" spans="1:9" ht="15" customHeight="1" x14ac:dyDescent="0.2">
      <c r="A40" s="20" t="s">
        <v>307</v>
      </c>
      <c r="B40" s="101" t="s">
        <v>308</v>
      </c>
      <c r="C40" s="102"/>
      <c r="D40" s="102"/>
      <c r="E40" s="102"/>
      <c r="F40" s="102"/>
      <c r="G40" s="102"/>
      <c r="H40" s="102"/>
      <c r="I40" s="102"/>
    </row>
  </sheetData>
  <sheetProtection sheet="1" formatColumns="0" formatRows="0"/>
  <mergeCells count="7">
    <mergeCell ref="B40:I40"/>
    <mergeCell ref="A33:I33"/>
    <mergeCell ref="B39:I39"/>
    <mergeCell ref="B38:I38"/>
    <mergeCell ref="B36:I36"/>
    <mergeCell ref="B37:I37"/>
    <mergeCell ref="A34:I34"/>
  </mergeCells>
  <dataValidations count="2">
    <dataValidation type="list" allowBlank="1" sqref="B6" xr:uid="{00000000-0002-0000-0400-000000000000}">
      <formula1>"Theo người dùng,Theo lượt dùng,Theo kết quả,Kết hợp (phí cố định + vượt hạn mức)"</formula1>
      <formula2>0</formula2>
    </dataValidation>
    <dataValidation type="decimal" allowBlank="1" showErrorMessage="1" error="Nhập tỷ lệ từ 0% đến 90%." sqref="B27" xr:uid="{00000000-0002-0000-0400-000001000000}">
      <formula1>0</formula1>
      <formula2>0.9</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2"/>
  <sheetViews>
    <sheetView zoomScaleNormal="100" workbookViewId="0"/>
  </sheetViews>
  <sheetFormatPr baseColWidth="10" defaultColWidth="8.6640625" defaultRowHeight="15" x14ac:dyDescent="0.2"/>
  <cols>
    <col min="1" max="1" width="44" customWidth="1"/>
    <col min="2" max="4" width="18" customWidth="1"/>
    <col min="5" max="5" width="14" customWidth="1"/>
    <col min="6" max="6" width="50" customWidth="1"/>
    <col min="7" max="7" width="56" customWidth="1"/>
  </cols>
  <sheetData>
    <row r="1" spans="1:7" ht="17.25" customHeight="1" x14ac:dyDescent="0.2">
      <c r="A1" s="1" t="s">
        <v>309</v>
      </c>
    </row>
    <row r="2" spans="1:7" ht="15" customHeight="1" x14ac:dyDescent="0.2">
      <c r="A2" s="8" t="s">
        <v>310</v>
      </c>
    </row>
    <row r="4" spans="1:7" ht="15" customHeight="1" x14ac:dyDescent="0.2">
      <c r="A4" s="13" t="s">
        <v>311</v>
      </c>
      <c r="B4" s="13" t="s">
        <v>312</v>
      </c>
      <c r="C4" s="13" t="s">
        <v>313</v>
      </c>
      <c r="D4" s="13" t="s">
        <v>314</v>
      </c>
      <c r="E4" s="13" t="s">
        <v>168</v>
      </c>
      <c r="F4" s="13" t="s">
        <v>169</v>
      </c>
      <c r="G4" s="13" t="s">
        <v>315</v>
      </c>
    </row>
    <row r="5" spans="1:7" ht="31.5" customHeight="1" x14ac:dyDescent="0.2">
      <c r="A5" s="60" t="s">
        <v>316</v>
      </c>
      <c r="B5" s="61">
        <v>1.1000000000000001</v>
      </c>
      <c r="C5" s="61">
        <v>1</v>
      </c>
      <c r="D5" s="61">
        <v>0.8</v>
      </c>
      <c r="E5" s="37" t="s">
        <v>317</v>
      </c>
      <c r="F5" s="62" t="s">
        <v>318</v>
      </c>
      <c r="G5" s="39" t="s">
        <v>319</v>
      </c>
    </row>
    <row r="6" spans="1:7" ht="31.5" customHeight="1" x14ac:dyDescent="0.2">
      <c r="A6" s="60" t="s">
        <v>320</v>
      </c>
      <c r="B6" s="61">
        <v>0.9</v>
      </c>
      <c r="C6" s="61">
        <v>1</v>
      </c>
      <c r="D6" s="61">
        <v>1.2</v>
      </c>
      <c r="E6" s="37" t="s">
        <v>317</v>
      </c>
      <c r="F6" s="62" t="s">
        <v>321</v>
      </c>
      <c r="G6" s="39" t="s">
        <v>322</v>
      </c>
    </row>
    <row r="7" spans="1:7" ht="31.5" customHeight="1" x14ac:dyDescent="0.2">
      <c r="A7" s="60" t="s">
        <v>323</v>
      </c>
      <c r="B7" s="63">
        <f>C7*1.3</f>
        <v>390</v>
      </c>
      <c r="C7" s="63">
        <v>300</v>
      </c>
      <c r="D7" s="63">
        <f>C7*0.5</f>
        <v>150</v>
      </c>
      <c r="E7" s="37" t="s">
        <v>324</v>
      </c>
      <c r="F7" s="62" t="s">
        <v>325</v>
      </c>
      <c r="G7" s="39" t="s">
        <v>326</v>
      </c>
    </row>
    <row r="8" spans="1:7" ht="46.5" customHeight="1" x14ac:dyDescent="0.2">
      <c r="A8" s="60" t="s">
        <v>327</v>
      </c>
      <c r="B8" s="41">
        <f>C8*1.6</f>
        <v>0.128</v>
      </c>
      <c r="C8" s="41">
        <v>0.08</v>
      </c>
      <c r="D8" s="41">
        <f>C8*0.4</f>
        <v>3.2000000000000001E-2</v>
      </c>
      <c r="E8" s="37" t="s">
        <v>198</v>
      </c>
      <c r="F8" s="62" t="s">
        <v>328</v>
      </c>
      <c r="G8" s="39" t="s">
        <v>329</v>
      </c>
    </row>
    <row r="9" spans="1:7" ht="43.5" customHeight="1" x14ac:dyDescent="0.2">
      <c r="A9" s="60" t="s">
        <v>330</v>
      </c>
      <c r="B9" s="41">
        <f>C9*0.6</f>
        <v>0.09</v>
      </c>
      <c r="C9" s="41">
        <v>0.15</v>
      </c>
      <c r="D9" s="41">
        <f>C9*1.6</f>
        <v>0.24</v>
      </c>
      <c r="E9" s="37" t="s">
        <v>198</v>
      </c>
      <c r="F9" s="62" t="s">
        <v>331</v>
      </c>
      <c r="G9" s="39" t="s">
        <v>332</v>
      </c>
    </row>
    <row r="10" spans="1:7" ht="31.5" customHeight="1" x14ac:dyDescent="0.2">
      <c r="A10" s="60" t="s">
        <v>333</v>
      </c>
      <c r="B10" s="64">
        <f>C10*0.8</f>
        <v>560000</v>
      </c>
      <c r="C10" s="64">
        <v>700000</v>
      </c>
      <c r="D10" s="64">
        <f>C10*1.5</f>
        <v>1050000</v>
      </c>
      <c r="E10" s="37" t="s">
        <v>334</v>
      </c>
      <c r="F10" s="62" t="s">
        <v>335</v>
      </c>
      <c r="G10" s="39" t="s">
        <v>336</v>
      </c>
    </row>
    <row r="11" spans="1:7" ht="46.5" customHeight="1" x14ac:dyDescent="0.2">
      <c r="A11" s="60" t="s">
        <v>337</v>
      </c>
      <c r="B11" s="64">
        <f>C11</f>
        <v>120000000</v>
      </c>
      <c r="C11" s="64">
        <v>120000000</v>
      </c>
      <c r="D11" s="64">
        <f>C11</f>
        <v>120000000</v>
      </c>
      <c r="E11" s="37" t="s">
        <v>261</v>
      </c>
      <c r="F11" s="62" t="s">
        <v>338</v>
      </c>
      <c r="G11" s="12" t="s">
        <v>339</v>
      </c>
    </row>
    <row r="12" spans="1:7" ht="76.5" customHeight="1" x14ac:dyDescent="0.2">
      <c r="A12" s="10" t="s">
        <v>340</v>
      </c>
      <c r="B12" s="64">
        <f>C12</f>
        <v>400000000</v>
      </c>
      <c r="C12" s="64">
        <v>400000000</v>
      </c>
      <c r="D12" s="64">
        <f>C12</f>
        <v>400000000</v>
      </c>
      <c r="E12" s="37" t="s">
        <v>202</v>
      </c>
      <c r="F12" s="62" t="s">
        <v>341</v>
      </c>
      <c r="G12" s="12" t="s">
        <v>342</v>
      </c>
    </row>
    <row r="13" spans="1:7" ht="31.5" customHeight="1" x14ac:dyDescent="0.2">
      <c r="A13" s="60" t="s">
        <v>343</v>
      </c>
      <c r="B13" s="64">
        <f>C13</f>
        <v>1500000000</v>
      </c>
      <c r="C13" s="64">
        <v>1500000000</v>
      </c>
      <c r="D13" s="64">
        <f>C13</f>
        <v>1500000000</v>
      </c>
      <c r="E13" s="37" t="s">
        <v>202</v>
      </c>
      <c r="F13" s="62" t="s">
        <v>344</v>
      </c>
      <c r="G13" s="39" t="s">
        <v>345</v>
      </c>
    </row>
    <row r="14" spans="1:7" ht="15.75" customHeight="1" x14ac:dyDescent="0.2">
      <c r="A14" s="35" t="s">
        <v>346</v>
      </c>
      <c r="B14" s="41">
        <v>0.15</v>
      </c>
      <c r="C14" s="41">
        <v>0.15</v>
      </c>
      <c r="D14" s="41">
        <v>0.15</v>
      </c>
      <c r="E14" s="37" t="s">
        <v>198</v>
      </c>
      <c r="F14" s="65" t="s">
        <v>347</v>
      </c>
      <c r="G14" s="39" t="s">
        <v>348</v>
      </c>
    </row>
    <row r="16" spans="1:7" ht="15" customHeight="1" x14ac:dyDescent="0.2">
      <c r="A16" s="4" t="s">
        <v>349</v>
      </c>
    </row>
    <row r="17" spans="1:4" ht="15" customHeight="1" x14ac:dyDescent="0.2">
      <c r="A17" s="42" t="s">
        <v>350</v>
      </c>
      <c r="B17" s="43">
        <f>'2_Định giá'!D17*B5*(1-'2_Định giá'!$B$27)</f>
        <v>153450</v>
      </c>
      <c r="C17" s="43">
        <f>'2_Định giá'!D17*C5*(1-'2_Định giá'!$B$27)</f>
        <v>139500</v>
      </c>
      <c r="D17" s="43">
        <f>'2_Định giá'!D17*D5*(1-'2_Định giá'!$B$27)</f>
        <v>111600</v>
      </c>
    </row>
    <row r="18" spans="1:4" ht="15" customHeight="1" x14ac:dyDescent="0.2">
      <c r="A18" s="42" t="s">
        <v>351</v>
      </c>
      <c r="B18" s="43">
        <f>'2_Định giá'!E17*B6</f>
        <v>13229.693856</v>
      </c>
      <c r="C18" s="43">
        <f>'2_Định giá'!E17*C6</f>
        <v>14699.65984</v>
      </c>
      <c r="D18" s="43">
        <f>'2_Định giá'!E17*D6</f>
        <v>17639.591808000001</v>
      </c>
    </row>
    <row r="19" spans="1:4" ht="15" customHeight="1" x14ac:dyDescent="0.2">
      <c r="A19" s="46" t="s">
        <v>352</v>
      </c>
    </row>
    <row r="20" spans="1:4" ht="15" customHeight="1" x14ac:dyDescent="0.2">
      <c r="A20" s="4" t="s">
        <v>353</v>
      </c>
    </row>
    <row r="21" spans="1:4" ht="15" customHeight="1" x14ac:dyDescent="0.2">
      <c r="A21" t="s">
        <v>354</v>
      </c>
      <c r="B21" s="55" t="str">
        <f>IF(C9=0,"Chưa điền",IF(D9&gt;=1.5*C9,"Đạt","Chưa đủ sốc"))</f>
        <v>Đạt</v>
      </c>
    </row>
    <row r="22" spans="1:4" ht="15" customHeight="1" x14ac:dyDescent="0.2">
      <c r="A22" t="s">
        <v>355</v>
      </c>
      <c r="B22" s="55" t="str">
        <f>IF(C10=0,"Chưa điền",IF(D10&gt;=1.5*C10,"Đạt","Chưa đủ sốc"))</f>
        <v>Đạt</v>
      </c>
    </row>
  </sheetData>
  <sheetProtection sheet="1" formatColumns="0" formatRows="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3"/>
  <sheetViews>
    <sheetView zoomScaleNormal="100" workbookViewId="0"/>
  </sheetViews>
  <sheetFormatPr baseColWidth="10" defaultColWidth="8.6640625" defaultRowHeight="15" x14ac:dyDescent="0.2"/>
  <cols>
    <col min="1" max="1" width="40" customWidth="1"/>
    <col min="2" max="4" width="18" customWidth="1"/>
    <col min="5" max="5" width="20" customWidth="1"/>
  </cols>
  <sheetData>
    <row r="1" spans="1:5" ht="17.25" customHeight="1" x14ac:dyDescent="0.2">
      <c r="A1" s="1" t="s">
        <v>356</v>
      </c>
    </row>
    <row r="2" spans="1:5" ht="15" customHeight="1" x14ac:dyDescent="0.2">
      <c r="A2" s="8" t="s">
        <v>357</v>
      </c>
    </row>
    <row r="4" spans="1:5" ht="15" customHeight="1" x14ac:dyDescent="0.2">
      <c r="A4" s="13" t="s">
        <v>358</v>
      </c>
      <c r="B4" s="13" t="s">
        <v>312</v>
      </c>
      <c r="C4" s="13" t="s">
        <v>313</v>
      </c>
      <c r="D4" s="13" t="s">
        <v>314</v>
      </c>
      <c r="E4" s="13" t="s">
        <v>359</v>
      </c>
    </row>
    <row r="5" spans="1:5" ht="15" customHeight="1" x14ac:dyDescent="0.2">
      <c r="A5" s="42" t="s">
        <v>350</v>
      </c>
      <c r="B5" s="43">
        <f>'3_Giả định'!B17</f>
        <v>153450</v>
      </c>
      <c r="C5" s="43">
        <f>'3_Giả định'!C17</f>
        <v>139500</v>
      </c>
      <c r="D5" s="43">
        <f>'3_Giả định'!D17</f>
        <v>111600</v>
      </c>
    </row>
    <row r="6" spans="1:5" ht="15" customHeight="1" x14ac:dyDescent="0.2">
      <c r="A6" s="42" t="s">
        <v>360</v>
      </c>
      <c r="B6" s="43">
        <f>'3_Giả định'!B17-'3_Giả định'!B18</f>
        <v>140220.306144</v>
      </c>
      <c r="C6" s="43">
        <f>'3_Giả định'!C17-'3_Giả định'!C18</f>
        <v>124800.34015999999</v>
      </c>
      <c r="D6" s="43">
        <f>'3_Giả định'!D17-'3_Giả định'!D18</f>
        <v>93960.408192000003</v>
      </c>
    </row>
    <row r="7" spans="1:5" ht="15" customHeight="1" x14ac:dyDescent="0.2">
      <c r="A7" s="42" t="s">
        <v>104</v>
      </c>
      <c r="B7" s="45">
        <f>IFERROR(B6/B5,0)</f>
        <v>0.91378498627565985</v>
      </c>
      <c r="C7" s="45">
        <f>IFERROR(C6/C5,0)</f>
        <v>0.89462609433691753</v>
      </c>
      <c r="D7" s="45">
        <f>IFERROR(D6/D5,0)</f>
        <v>0.84193914150537641</v>
      </c>
      <c r="E7" t="s">
        <v>361</v>
      </c>
    </row>
    <row r="8" spans="1:5" ht="15" customHeight="1" x14ac:dyDescent="0.2">
      <c r="A8" s="42" t="s">
        <v>362</v>
      </c>
      <c r="B8" s="66">
        <f>IFERROR(1/'3_Giả định'!B9,0)</f>
        <v>11.111111111111111</v>
      </c>
      <c r="C8" s="66">
        <f>IFERROR(1/'3_Giả định'!C9,0)</f>
        <v>6.666666666666667</v>
      </c>
      <c r="D8" s="66">
        <f>IFERROR(1/'3_Giả định'!D9,0)</f>
        <v>4.166666666666667</v>
      </c>
    </row>
    <row r="9" spans="1:5" ht="15" customHeight="1" x14ac:dyDescent="0.2">
      <c r="A9" s="42" t="s">
        <v>363</v>
      </c>
      <c r="B9" s="43">
        <f>B6*B8</f>
        <v>1558003.4016</v>
      </c>
      <c r="C9" s="43">
        <f>C6*C8</f>
        <v>832002.26773333328</v>
      </c>
      <c r="D9" s="43">
        <f>D6*D8</f>
        <v>391501.70080000005</v>
      </c>
    </row>
    <row r="10" spans="1:5" ht="15" customHeight="1" x14ac:dyDescent="0.2">
      <c r="A10" s="42" t="s">
        <v>364</v>
      </c>
      <c r="B10" s="43">
        <f>'3_Giả định'!B10</f>
        <v>560000</v>
      </c>
      <c r="C10" s="43">
        <f>'3_Giả định'!C10</f>
        <v>700000</v>
      </c>
      <c r="D10" s="43">
        <f>'3_Giả định'!D10</f>
        <v>1050000</v>
      </c>
    </row>
    <row r="11" spans="1:5" ht="15" customHeight="1" x14ac:dyDescent="0.2">
      <c r="A11" s="42" t="s">
        <v>365</v>
      </c>
      <c r="B11" s="67">
        <f>IFERROR(B9/B10,0)</f>
        <v>2.7821489314285714</v>
      </c>
      <c r="C11" s="67">
        <f>IFERROR(C9/C10,0)</f>
        <v>1.1885746681904761</v>
      </c>
      <c r="D11" s="67">
        <f>IFERROR(D9/D10,0)</f>
        <v>0.37285876266666673</v>
      </c>
      <c r="E11" s="3" t="s">
        <v>366</v>
      </c>
    </row>
    <row r="12" spans="1:5" ht="15" customHeight="1" x14ac:dyDescent="0.2">
      <c r="A12" s="42" t="s">
        <v>367</v>
      </c>
      <c r="B12" s="66">
        <f>IFERROR(B10/B6,0)</f>
        <v>3.9937154282412206</v>
      </c>
      <c r="C12" s="66">
        <f>IFERROR(C10/C6,0)</f>
        <v>5.6089590709654047</v>
      </c>
      <c r="D12" s="66">
        <f>IFERROR(D10/D6,0)</f>
        <v>11.174919524129944</v>
      </c>
      <c r="E12" t="s">
        <v>368</v>
      </c>
    </row>
    <row r="13" spans="1:5" ht="15" customHeight="1" x14ac:dyDescent="0.2">
      <c r="A13" s="42" t="s">
        <v>369</v>
      </c>
      <c r="B13" s="68" t="str">
        <f>IF(B5&lt;=0,"Chưa điền trang 2–3",IF(B6&lt;=0,"Lỗ trên từng khách",IF(AND(B11&gt;3,B12&lt;12,B7&gt;=0.6),"Khỏe",IF(B11&gt;=1,"Cần cải thiện","Đốt tiền"))))</f>
        <v>Cần cải thiện</v>
      </c>
      <c r="C13" s="68" t="str">
        <f>IF(C5&lt;=0,"Chưa điền trang 2–3",IF(C6&lt;=0,"Lỗ trên từng khách",IF(AND(C11&gt;3,C12&lt;12,C7&gt;=0.6),"Khỏe",IF(C11&gt;=1,"Cần cải thiện","Đốt tiền"))))</f>
        <v>Cần cải thiện</v>
      </c>
      <c r="D13" s="68" t="str">
        <f>IF(D5&lt;=0,"Chưa điền trang 2–3",IF(D6&lt;=0,"Lỗ trên từng khách",IF(AND(D11&gt;3,D12&lt;12,D7&gt;=0.6),"Khỏe",IF(D11&gt;=1,"Cần cải thiện","Đốt tiền"))))</f>
        <v>Đốt tiền</v>
      </c>
    </row>
  </sheetData>
  <sheetProtection sheet="1" formatColumns="0" formatRows="0"/>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45"/>
  <sheetViews>
    <sheetView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6640625" defaultRowHeight="15" outlineLevelRow="1" x14ac:dyDescent="0.2"/>
  <cols>
    <col min="1" max="1" width="38" customWidth="1"/>
    <col min="2" max="26" width="18" customWidth="1"/>
  </cols>
  <sheetData>
    <row r="1" spans="1:26" ht="17.25" customHeight="1" x14ac:dyDescent="0.2">
      <c r="A1" s="1" t="s">
        <v>370</v>
      </c>
    </row>
    <row r="2" spans="1:26" ht="15" customHeight="1" x14ac:dyDescent="0.2">
      <c r="A2" s="8" t="s">
        <v>371</v>
      </c>
    </row>
    <row r="4" spans="1:26" ht="15" customHeight="1" x14ac:dyDescent="0.2">
      <c r="A4" s="13" t="s">
        <v>372</v>
      </c>
      <c r="B4" s="13" t="s">
        <v>373</v>
      </c>
      <c r="C4" s="13" t="s">
        <v>374</v>
      </c>
      <c r="D4" s="13" t="s">
        <v>375</v>
      </c>
      <c r="E4" s="13" t="s">
        <v>376</v>
      </c>
      <c r="F4" s="13" t="s">
        <v>377</v>
      </c>
      <c r="G4" s="13" t="s">
        <v>378</v>
      </c>
      <c r="H4" s="13" t="s">
        <v>379</v>
      </c>
      <c r="I4" s="13" t="s">
        <v>380</v>
      </c>
      <c r="J4" s="13" t="s">
        <v>381</v>
      </c>
      <c r="K4" s="13" t="s">
        <v>382</v>
      </c>
      <c r="L4" s="13" t="s">
        <v>383</v>
      </c>
      <c r="M4" s="13" t="s">
        <v>384</v>
      </c>
      <c r="N4" s="13" t="s">
        <v>385</v>
      </c>
      <c r="O4" s="13" t="s">
        <v>386</v>
      </c>
      <c r="P4" s="13" t="s">
        <v>387</v>
      </c>
      <c r="Q4" s="13" t="s">
        <v>388</v>
      </c>
      <c r="R4" s="13" t="s">
        <v>389</v>
      </c>
      <c r="S4" s="13" t="s">
        <v>390</v>
      </c>
      <c r="T4" s="13" t="s">
        <v>391</v>
      </c>
      <c r="U4" s="13" t="s">
        <v>392</v>
      </c>
      <c r="V4" s="13" t="s">
        <v>393</v>
      </c>
      <c r="W4" s="13" t="s">
        <v>394</v>
      </c>
      <c r="X4" s="13" t="s">
        <v>395</v>
      </c>
      <c r="Y4" s="13" t="s">
        <v>396</v>
      </c>
      <c r="Z4" s="13" t="s">
        <v>397</v>
      </c>
    </row>
    <row r="5" spans="1:26" ht="15" customHeight="1" x14ac:dyDescent="0.2">
      <c r="A5" s="69" t="s">
        <v>398</v>
      </c>
    </row>
    <row r="6" spans="1:26" ht="15" customHeight="1" x14ac:dyDescent="0.2">
      <c r="A6" s="42" t="s">
        <v>399</v>
      </c>
      <c r="C6" s="70">
        <f>'3_Giả định'!$B$7*(1+'3_Giả định'!$B$8)^0</f>
        <v>390</v>
      </c>
      <c r="D6" s="70">
        <f>'3_Giả định'!$B$7*(1+'3_Giả định'!$B$8)^1</f>
        <v>439.92000000000007</v>
      </c>
      <c r="E6" s="70">
        <f>'3_Giả định'!$B$7*(1+'3_Giả định'!$B$8)^2</f>
        <v>496.22976000000006</v>
      </c>
      <c r="F6" s="70">
        <f>'3_Giả định'!$B$7*(1+'3_Giả định'!$B$8)^3</f>
        <v>559.74716928000009</v>
      </c>
      <c r="G6" s="70">
        <f>'3_Giả định'!$B$7*(1+'3_Giả định'!$B$8)^4</f>
        <v>631.39480694784015</v>
      </c>
      <c r="H6" s="70">
        <f>'3_Giả định'!$B$7*(1+'3_Giả định'!$B$8)^5</f>
        <v>712.21334223716372</v>
      </c>
      <c r="I6" s="70">
        <f>'3_Giả định'!$B$7*(1+'3_Giả định'!$B$8)^6</f>
        <v>803.37665004352084</v>
      </c>
      <c r="J6" s="70">
        <f>'3_Giả định'!$B$7*(1+'3_Giả định'!$B$8)^7</f>
        <v>906.20886124909157</v>
      </c>
      <c r="K6" s="70">
        <f>'3_Giả định'!$B$7*(1+'3_Giả định'!$B$8)^8</f>
        <v>1022.2035954889753</v>
      </c>
      <c r="L6" s="70">
        <f>'3_Giả định'!$B$7*(1+'3_Giả định'!$B$8)^9</f>
        <v>1153.0456557115642</v>
      </c>
      <c r="M6" s="70">
        <f>'3_Giả định'!$B$7*(1+'3_Giả định'!$B$8)^10</f>
        <v>1300.6354996426446</v>
      </c>
      <c r="N6" s="70">
        <f>'3_Giả định'!$B$7*(1+'3_Giả định'!$B$8)^11</f>
        <v>1467.1168435969032</v>
      </c>
      <c r="O6" s="70">
        <f>'3_Giả định'!$B$7*(1+'3_Giả định'!$B$8)^12</f>
        <v>1654.9077995773071</v>
      </c>
      <c r="P6" s="70">
        <f>'3_Giả định'!$B$7*(1+'3_Giả định'!$B$8)^13</f>
        <v>1866.7359979232021</v>
      </c>
      <c r="Q6" s="70">
        <f>'3_Giả định'!$B$7*(1+'3_Giả định'!$B$8)^14</f>
        <v>2105.6782056573725</v>
      </c>
      <c r="R6" s="70">
        <f>'3_Giả định'!$B$7*(1+'3_Giả định'!$B$8)^15</f>
        <v>2375.2050159815162</v>
      </c>
      <c r="S6" s="70">
        <f>'3_Giả định'!$B$7*(1+'3_Giả định'!$B$8)^16</f>
        <v>2679.2312580271505</v>
      </c>
      <c r="T6" s="70">
        <f>'3_Giả định'!$B$7*(1+'3_Giả định'!$B$8)^17</f>
        <v>3022.1728590546263</v>
      </c>
      <c r="U6" s="70">
        <f>'3_Giả định'!$B$7*(1+'3_Giả định'!$B$8)^18</f>
        <v>3409.0109850136182</v>
      </c>
      <c r="V6" s="70">
        <f>'3_Giả định'!$B$7*(1+'3_Giả định'!$B$8)^19</f>
        <v>3845.3643910953624</v>
      </c>
      <c r="W6" s="70">
        <f>'3_Giả định'!$B$7*(1+'3_Giả định'!$B$8)^20</f>
        <v>4337.5710331555683</v>
      </c>
      <c r="X6" s="70">
        <f>'3_Giả định'!$B$7*(1+'3_Giả định'!$B$8)^21</f>
        <v>4892.7801253994821</v>
      </c>
      <c r="Y6" s="70">
        <f>'3_Giả định'!$B$7*(1+'3_Giả định'!$B$8)^22</f>
        <v>5519.0559814506159</v>
      </c>
      <c r="Z6" s="70">
        <f>'3_Giả định'!$B$7*(1+'3_Giả định'!$B$8)^23</f>
        <v>6225.4951470762953</v>
      </c>
    </row>
    <row r="7" spans="1:26" ht="15" customHeight="1" x14ac:dyDescent="0.2">
      <c r="A7" s="42" t="s">
        <v>400</v>
      </c>
      <c r="B7">
        <v>0</v>
      </c>
      <c r="C7" s="70">
        <f>B7*(1-'3_Giả định'!$B$9)+C6</f>
        <v>390</v>
      </c>
      <c r="D7" s="70">
        <f>C7*(1-'3_Giả định'!$B$9)+D6</f>
        <v>794.82000000000016</v>
      </c>
      <c r="E7" s="70">
        <f>D7*(1-'3_Giả định'!$B$9)+E6</f>
        <v>1219.5159600000002</v>
      </c>
      <c r="F7" s="70">
        <f>E7*(1-'3_Giả định'!$B$9)+F6</f>
        <v>1669.5066928800002</v>
      </c>
      <c r="G7" s="70">
        <f>F7*(1-'3_Giả định'!$B$9)+G6</f>
        <v>2150.6458974686402</v>
      </c>
      <c r="H7" s="70">
        <f>G7*(1-'3_Giả định'!$B$9)+H6</f>
        <v>2669.3011089336264</v>
      </c>
      <c r="I7" s="70">
        <f>H7*(1-'3_Giả định'!$B$9)+I6</f>
        <v>3232.4406591731208</v>
      </c>
      <c r="J7" s="70">
        <f>I7*(1-'3_Giả định'!$B$9)+J6</f>
        <v>3847.7298610966318</v>
      </c>
      <c r="K7" s="70">
        <f>J7*(1-'3_Giả định'!$B$9)+K6</f>
        <v>4523.6377690869103</v>
      </c>
      <c r="L7" s="70">
        <f>K7*(1-'3_Giả định'!$B$9)+L6</f>
        <v>5269.5560255806522</v>
      </c>
      <c r="M7" s="70">
        <f>L7*(1-'3_Giả định'!$B$9)+M6</f>
        <v>6095.931482921038</v>
      </c>
      <c r="N7" s="70">
        <f>M7*(1-'3_Giả định'!$B$9)+N6</f>
        <v>7014.4144930550474</v>
      </c>
      <c r="O7" s="70">
        <f>N7*(1-'3_Giả định'!$B$9)+O6</f>
        <v>8038.0249882573999</v>
      </c>
      <c r="P7" s="70">
        <f>O7*(1-'3_Giả định'!$B$9)+P6</f>
        <v>9181.3387372374364</v>
      </c>
      <c r="Q7" s="70">
        <f>P7*(1-'3_Giả định'!$B$9)+Q6</f>
        <v>10460.696456543439</v>
      </c>
      <c r="R7" s="70">
        <f>Q7*(1-'3_Giả định'!$B$9)+R6</f>
        <v>11894.438791436045</v>
      </c>
      <c r="S7" s="70">
        <f>R7*(1-'3_Giả định'!$B$9)+S6</f>
        <v>13503.170558233951</v>
      </c>
      <c r="T7" s="70">
        <f>S7*(1-'3_Giả định'!$B$9)+T6</f>
        <v>15310.058067047523</v>
      </c>
      <c r="U7" s="70">
        <f>T7*(1-'3_Giả định'!$B$9)+U6</f>
        <v>17341.163826026866</v>
      </c>
      <c r="V7" s="70">
        <f>U7*(1-'3_Giả định'!$B$9)+V6</f>
        <v>19625.823472779812</v>
      </c>
      <c r="W7" s="70">
        <f>V7*(1-'3_Giả định'!$B$9)+W6</f>
        <v>22197.070393385198</v>
      </c>
      <c r="X7" s="70">
        <f>W7*(1-'3_Giả định'!$B$9)+X6</f>
        <v>25092.114183380014</v>
      </c>
      <c r="Y7" s="70">
        <f>X7*(1-'3_Giả định'!$B$9)+Y6</f>
        <v>28352.879888326428</v>
      </c>
      <c r="Z7" s="70">
        <f>Y7*(1-'3_Giả định'!$B$9)+Z6</f>
        <v>32026.615845453343</v>
      </c>
    </row>
    <row r="8" spans="1:26" ht="15" customHeight="1" x14ac:dyDescent="0.2">
      <c r="A8" s="42" t="s">
        <v>94</v>
      </c>
      <c r="C8" s="71">
        <f>C7*'3_Giả định'!$B$17</f>
        <v>59845500</v>
      </c>
      <c r="D8" s="71">
        <f>D7*'3_Giả định'!$B$17</f>
        <v>121965129.00000003</v>
      </c>
      <c r="E8" s="71">
        <f>E7*'3_Giả định'!$B$17</f>
        <v>187134724.06200004</v>
      </c>
      <c r="F8" s="71">
        <f>F7*'3_Giả định'!$B$17</f>
        <v>256185802.02243602</v>
      </c>
      <c r="G8" s="71">
        <f>G7*'3_Giả định'!$B$17</f>
        <v>330016612.96656287</v>
      </c>
      <c r="H8" s="71">
        <f>H7*'3_Giả định'!$B$17</f>
        <v>409604255.165865</v>
      </c>
      <c r="I8" s="71">
        <f>I7*'3_Giả định'!$B$17</f>
        <v>496018019.15011537</v>
      </c>
      <c r="J8" s="71">
        <f>J7*'3_Giả định'!$B$17</f>
        <v>590434147.18527818</v>
      </c>
      <c r="K8" s="71">
        <f>K7*'3_Giả định'!$B$17</f>
        <v>694152215.66638637</v>
      </c>
      <c r="L8" s="71">
        <f>L7*'3_Giả định'!$B$17</f>
        <v>808613372.12535107</v>
      </c>
      <c r="M8" s="71">
        <f>M7*'3_Giả định'!$B$17</f>
        <v>935420686.05423331</v>
      </c>
      <c r="N8" s="71">
        <f>N7*'3_Giả định'!$B$17</f>
        <v>1076361903.9592969</v>
      </c>
      <c r="O8" s="71">
        <f>O7*'3_Giả định'!$B$17</f>
        <v>1233434934.4480979</v>
      </c>
      <c r="P8" s="71">
        <f>P7*'3_Giả định'!$B$17</f>
        <v>1408876429.2290845</v>
      </c>
      <c r="Q8" s="71">
        <f>Q7*'3_Giả định'!$B$17</f>
        <v>1605193871.2565908</v>
      </c>
      <c r="R8" s="71">
        <f>R7*'3_Giả định'!$B$17</f>
        <v>1825201632.545861</v>
      </c>
      <c r="S8" s="71">
        <f>S7*'3_Giả định'!$B$17</f>
        <v>2072061522.1609998</v>
      </c>
      <c r="T8" s="71">
        <f>T7*'3_Giả định'!$B$17</f>
        <v>2349328410.3884425</v>
      </c>
      <c r="U8" s="71">
        <f>U7*'3_Giả định'!$B$17</f>
        <v>2661001589.1038227</v>
      </c>
      <c r="V8" s="71">
        <f>V7*'3_Giả định'!$B$17</f>
        <v>3011582611.8980622</v>
      </c>
      <c r="W8" s="71">
        <f>W7*'3_Giả định'!$B$17</f>
        <v>3406140451.8649588</v>
      </c>
      <c r="X8" s="71">
        <f>X7*'3_Giả định'!$B$17</f>
        <v>3850384921.4396629</v>
      </c>
      <c r="Y8" s="71">
        <f>Y7*'3_Giả định'!$B$17</f>
        <v>4350749418.8636904</v>
      </c>
      <c r="Z8" s="71">
        <f>Z7*'3_Giả định'!$B$17</f>
        <v>4914484201.4848156</v>
      </c>
    </row>
    <row r="9" spans="1:26" ht="15" customHeight="1" x14ac:dyDescent="0.2">
      <c r="A9" s="42" t="s">
        <v>401</v>
      </c>
      <c r="C9" s="71">
        <f>C7*'3_Giả định'!$B$18</f>
        <v>5159580.60384</v>
      </c>
      <c r="D9" s="71">
        <f>D7*'3_Giả định'!$B$18</f>
        <v>10515225.270625923</v>
      </c>
      <c r="E9" s="71">
        <f>E7*'3_Giả định'!$B$18</f>
        <v>16133822.803305944</v>
      </c>
      <c r="F9" s="71">
        <f>F7*'3_Giả định'!$B$18</f>
        <v>22087062.437345415</v>
      </c>
      <c r="G9" s="71">
        <f>G7*'3_Giả định'!$B$18</f>
        <v>28452386.816172477</v>
      </c>
      <c r="H9" s="71">
        <f>H7*'3_Giả định'!$B$18</f>
        <v>35314036.480673186</v>
      </c>
      <c r="I9" s="71">
        <f>I7*'3_Giả định'!$B$18</f>
        <v>42764200.328547224</v>
      </c>
      <c r="J9" s="71">
        <f>J7*'3_Giả định'!$B$18</f>
        <v>50904288.102897845</v>
      </c>
      <c r="K9" s="71">
        <f>K7*'3_Giả định'!$B$18</f>
        <v>59846342.800458647</v>
      </c>
      <c r="L9" s="71">
        <f>L7*'3_Giả định'!$B$18</f>
        <v>69714612.975472137</v>
      </c>
      <c r="M9" s="71">
        <f>M7*'3_Giả định'!$B$18</f>
        <v>80647307.286197424</v>
      </c>
      <c r="N9" s="71">
        <f>N7*'3_Giả định'!$B$18</f>
        <v>92798556.322207719</v>
      </c>
      <c r="O9" s="71">
        <f>O7*'3_Giả định'!$B$18</f>
        <v>106340609.80152339</v>
      </c>
      <c r="P9" s="71">
        <f>P7*'3_Giả định'!$B$18</f>
        <v>121466300.68188491</v>
      </c>
      <c r="Q9" s="71">
        <f>Q7*'3_Giả định'!$B$18</f>
        <v>138391811.6406137</v>
      </c>
      <c r="R9" s="71">
        <f>R7*'3_Giả định'!$B$18</f>
        <v>157359783.79962951</v>
      </c>
      <c r="S9" s="71">
        <f>S7*'3_Giả định'!$B$18</f>
        <v>178642812.57078779</v>
      </c>
      <c r="T9" s="71">
        <f>T7*'3_Giả định'!$B$18</f>
        <v>202547381.14462185</v>
      </c>
      <c r="U9" s="71">
        <f>U7*'3_Giả định'!$B$18</f>
        <v>229418288.52507707</v>
      </c>
      <c r="V9" s="71">
        <f>V7*'3_Giả định'!$B$18</f>
        <v>259643636.21677566</v>
      </c>
      <c r="W9" s="71">
        <f>W7*'3_Giả định'!$B$18</f>
        <v>293660445.80456764</v>
      </c>
      <c r="X9" s="71">
        <f>X7*'3_Giả định'!$B$18</f>
        <v>331960988.84591305</v>
      </c>
      <c r="Y9" s="71">
        <f>Y7*'3_Giả định'!$B$18</f>
        <v>375099920.8584981</v>
      </c>
      <c r="Z9" s="71">
        <f>Z7*'3_Giả định'!$B$18</f>
        <v>423702322.87906635</v>
      </c>
    </row>
    <row r="10" spans="1:26" ht="15" customHeight="1" x14ac:dyDescent="0.2">
      <c r="A10" s="42" t="s">
        <v>96</v>
      </c>
      <c r="C10" s="71">
        <f t="shared" ref="C10:Z10" si="0">C8-C9</f>
        <v>54685919.396159999</v>
      </c>
      <c r="D10" s="71">
        <f t="shared" si="0"/>
        <v>111449903.72937411</v>
      </c>
      <c r="E10" s="71">
        <f t="shared" si="0"/>
        <v>171000901.25869408</v>
      </c>
      <c r="F10" s="71">
        <f t="shared" si="0"/>
        <v>234098739.58509061</v>
      </c>
      <c r="G10" s="71">
        <f t="shared" si="0"/>
        <v>301564226.15039039</v>
      </c>
      <c r="H10" s="71">
        <f t="shared" si="0"/>
        <v>374290218.68519181</v>
      </c>
      <c r="I10" s="71">
        <f t="shared" si="0"/>
        <v>453253818.82156813</v>
      </c>
      <c r="J10" s="71">
        <f t="shared" si="0"/>
        <v>539529859.08238029</v>
      </c>
      <c r="K10" s="71">
        <f t="shared" si="0"/>
        <v>634305872.8659277</v>
      </c>
      <c r="L10" s="71">
        <f t="shared" si="0"/>
        <v>738898759.14987898</v>
      </c>
      <c r="M10" s="71">
        <f t="shared" si="0"/>
        <v>854773378.76803589</v>
      </c>
      <c r="N10" s="71">
        <f t="shared" si="0"/>
        <v>983563347.63708925</v>
      </c>
      <c r="O10" s="71">
        <f t="shared" si="0"/>
        <v>1127094324.6465745</v>
      </c>
      <c r="P10" s="71">
        <f t="shared" si="0"/>
        <v>1287410128.5471995</v>
      </c>
      <c r="Q10" s="71">
        <f t="shared" si="0"/>
        <v>1466802059.615977</v>
      </c>
      <c r="R10" s="71">
        <f t="shared" si="0"/>
        <v>1667841848.7462316</v>
      </c>
      <c r="S10" s="71">
        <f t="shared" si="0"/>
        <v>1893418709.5902119</v>
      </c>
      <c r="T10" s="71">
        <f t="shared" si="0"/>
        <v>2146781029.2438207</v>
      </c>
      <c r="U10" s="71">
        <f t="shared" si="0"/>
        <v>2431583300.5787458</v>
      </c>
      <c r="V10" s="71">
        <f t="shared" si="0"/>
        <v>2751938975.6812868</v>
      </c>
      <c r="W10" s="71">
        <f t="shared" si="0"/>
        <v>3112480006.0603909</v>
      </c>
      <c r="X10" s="71">
        <f t="shared" si="0"/>
        <v>3518423932.59375</v>
      </c>
      <c r="Y10" s="71">
        <f t="shared" si="0"/>
        <v>3975649498.0051923</v>
      </c>
      <c r="Z10" s="71">
        <f t="shared" si="0"/>
        <v>4490781878.6057491</v>
      </c>
    </row>
    <row r="11" spans="1:26" ht="15" customHeight="1" x14ac:dyDescent="0.2">
      <c r="A11" s="42" t="s">
        <v>402</v>
      </c>
      <c r="C11" s="71">
        <f>C6*'3_Giả định'!$B$10</f>
        <v>218400000</v>
      </c>
      <c r="D11" s="71">
        <f>D6*'3_Giả định'!$B$10</f>
        <v>246355200.00000003</v>
      </c>
      <c r="E11" s="71">
        <f>E6*'3_Giả định'!$B$10</f>
        <v>277888665.60000002</v>
      </c>
      <c r="F11" s="71">
        <f>F6*'3_Giả định'!$B$10</f>
        <v>313458414.79680008</v>
      </c>
      <c r="G11" s="71">
        <f>G6*'3_Giả định'!$B$10</f>
        <v>353581091.89079046</v>
      </c>
      <c r="H11" s="71">
        <f>H6*'3_Giả định'!$B$10</f>
        <v>398839471.65281171</v>
      </c>
      <c r="I11" s="71">
        <f>I6*'3_Giả định'!$B$10</f>
        <v>449890924.02437168</v>
      </c>
      <c r="J11" s="71">
        <f>J6*'3_Giả định'!$B$10</f>
        <v>507476962.29949129</v>
      </c>
      <c r="K11" s="71">
        <f>K6*'3_Giả định'!$B$10</f>
        <v>572434013.47382617</v>
      </c>
      <c r="L11" s="71">
        <f>L6*'3_Giả định'!$B$10</f>
        <v>645705567.19847596</v>
      </c>
      <c r="M11" s="71">
        <f>M6*'3_Giả định'!$B$10</f>
        <v>728355879.79988098</v>
      </c>
      <c r="N11" s="71">
        <f>N6*'3_Giả định'!$B$10</f>
        <v>821585432.41426575</v>
      </c>
      <c r="O11" s="71">
        <f>O6*'3_Giả định'!$B$10</f>
        <v>926748367.76329195</v>
      </c>
      <c r="P11" s="71">
        <f>P6*'3_Giả định'!$B$10</f>
        <v>1045372158.8369932</v>
      </c>
      <c r="Q11" s="71">
        <f>Q6*'3_Giả định'!$B$10</f>
        <v>1179179795.1681285</v>
      </c>
      <c r="R11" s="71">
        <f>R6*'3_Giả định'!$B$10</f>
        <v>1330114808.9496491</v>
      </c>
      <c r="S11" s="71">
        <f>S6*'3_Giả định'!$B$10</f>
        <v>1500369504.4952042</v>
      </c>
      <c r="T11" s="71">
        <f>T6*'3_Giả định'!$B$10</f>
        <v>1692416801.0705907</v>
      </c>
      <c r="U11" s="71">
        <f>U6*'3_Giả định'!$B$10</f>
        <v>1909046151.6076262</v>
      </c>
      <c r="V11" s="71">
        <f>V6*'3_Giả định'!$B$10</f>
        <v>2153404059.0134029</v>
      </c>
      <c r="W11" s="71">
        <f>W6*'3_Giả định'!$B$10</f>
        <v>2429039778.5671182</v>
      </c>
      <c r="X11" s="71">
        <f>X6*'3_Giả định'!$B$10</f>
        <v>2739956870.2237101</v>
      </c>
      <c r="Y11" s="71">
        <f>Y6*'3_Giả định'!$B$10</f>
        <v>3090671349.6123447</v>
      </c>
      <c r="Z11" s="71">
        <f>Z6*'3_Giả định'!$B$10</f>
        <v>3486277282.3627253</v>
      </c>
    </row>
    <row r="12" spans="1:26" ht="15" customHeight="1" x14ac:dyDescent="0.2">
      <c r="A12" s="42" t="s">
        <v>403</v>
      </c>
      <c r="C12" s="71">
        <f>'3_Giả định'!$B$11</f>
        <v>120000000</v>
      </c>
      <c r="D12" s="71">
        <f>'3_Giả định'!$B$11</f>
        <v>120000000</v>
      </c>
      <c r="E12" s="71">
        <f>'3_Giả định'!$B$11</f>
        <v>120000000</v>
      </c>
      <c r="F12" s="71">
        <f>'3_Giả định'!$B$11</f>
        <v>120000000</v>
      </c>
      <c r="G12" s="71">
        <f>'3_Giả định'!$B$11</f>
        <v>120000000</v>
      </c>
      <c r="H12" s="71">
        <f>'3_Giả định'!$B$11</f>
        <v>120000000</v>
      </c>
      <c r="I12" s="71">
        <f>'3_Giả định'!$B$11</f>
        <v>120000000</v>
      </c>
      <c r="J12" s="71">
        <f>'3_Giả định'!$B$11</f>
        <v>120000000</v>
      </c>
      <c r="K12" s="71">
        <f>'3_Giả định'!$B$11</f>
        <v>120000000</v>
      </c>
      <c r="L12" s="71">
        <f>'3_Giả định'!$B$11</f>
        <v>120000000</v>
      </c>
      <c r="M12" s="71">
        <f>'3_Giả định'!$B$11</f>
        <v>120000000</v>
      </c>
      <c r="N12" s="71">
        <f>'3_Giả định'!$B$11</f>
        <v>120000000</v>
      </c>
      <c r="O12" s="71">
        <f>'3_Giả định'!$B$11</f>
        <v>120000000</v>
      </c>
      <c r="P12" s="71">
        <f>'3_Giả định'!$B$11</f>
        <v>120000000</v>
      </c>
      <c r="Q12" s="71">
        <f>'3_Giả định'!$B$11</f>
        <v>120000000</v>
      </c>
      <c r="R12" s="71">
        <f>'3_Giả định'!$B$11</f>
        <v>120000000</v>
      </c>
      <c r="S12" s="71">
        <f>'3_Giả định'!$B$11</f>
        <v>120000000</v>
      </c>
      <c r="T12" s="71">
        <f>'3_Giả định'!$B$11</f>
        <v>120000000</v>
      </c>
      <c r="U12" s="71">
        <f>'3_Giả định'!$B$11</f>
        <v>120000000</v>
      </c>
      <c r="V12" s="71">
        <f>'3_Giả định'!$B$11</f>
        <v>120000000</v>
      </c>
      <c r="W12" s="71">
        <f>'3_Giả định'!$B$11</f>
        <v>120000000</v>
      </c>
      <c r="X12" s="71">
        <f>'3_Giả định'!$B$11</f>
        <v>120000000</v>
      </c>
      <c r="Y12" s="71">
        <f>'3_Giả định'!$B$11</f>
        <v>120000000</v>
      </c>
      <c r="Z12" s="71">
        <f>'3_Giả định'!$B$11</f>
        <v>120000000</v>
      </c>
    </row>
    <row r="13" spans="1:26" ht="15" customHeight="1" x14ac:dyDescent="0.2">
      <c r="A13" s="42" t="s">
        <v>404</v>
      </c>
      <c r="B13" s="71">
        <f>-'3_Giả định'!$B$12</f>
        <v>-400000000</v>
      </c>
      <c r="C13" s="71">
        <f t="shared" ref="C13:Z13" si="1">C10-C11-C12</f>
        <v>-283714080.60383999</v>
      </c>
      <c r="D13" s="71">
        <f t="shared" si="1"/>
        <v>-254905296.27062592</v>
      </c>
      <c r="E13" s="71">
        <f t="shared" si="1"/>
        <v>-226887764.34130594</v>
      </c>
      <c r="F13" s="71">
        <f t="shared" si="1"/>
        <v>-199359675.21170947</v>
      </c>
      <c r="G13" s="71">
        <f t="shared" si="1"/>
        <v>-172016865.74040008</v>
      </c>
      <c r="H13" s="71">
        <f t="shared" si="1"/>
        <v>-144549252.9676199</v>
      </c>
      <c r="I13" s="71">
        <f t="shared" si="1"/>
        <v>-116637105.20280355</v>
      </c>
      <c r="J13" s="71">
        <f t="shared" si="1"/>
        <v>-87947103.217110991</v>
      </c>
      <c r="K13" s="71">
        <f t="shared" si="1"/>
        <v>-58128140.607898474</v>
      </c>
      <c r="L13" s="71">
        <f t="shared" si="1"/>
        <v>-26806808.048596978</v>
      </c>
      <c r="M13" s="71">
        <f t="shared" si="1"/>
        <v>6417498.9681549072</v>
      </c>
      <c r="N13" s="71">
        <f t="shared" si="1"/>
        <v>41977915.222823501</v>
      </c>
      <c r="O13" s="71">
        <f t="shared" si="1"/>
        <v>80345956.883282542</v>
      </c>
      <c r="P13" s="71">
        <f t="shared" si="1"/>
        <v>122037969.71020627</v>
      </c>
      <c r="Q13" s="71">
        <f t="shared" si="1"/>
        <v>167622264.44784856</v>
      </c>
      <c r="R13" s="71">
        <f t="shared" si="1"/>
        <v>217727039.79658246</v>
      </c>
      <c r="S13" s="71">
        <f t="shared" si="1"/>
        <v>273049205.09500766</v>
      </c>
      <c r="T13" s="71">
        <f t="shared" si="1"/>
        <v>334364228.17322993</v>
      </c>
      <c r="U13" s="71">
        <f t="shared" si="1"/>
        <v>402537148.97111964</v>
      </c>
      <c r="V13" s="71">
        <f t="shared" si="1"/>
        <v>478534916.66788387</v>
      </c>
      <c r="W13" s="71">
        <f t="shared" si="1"/>
        <v>563440227.49327278</v>
      </c>
      <c r="X13" s="71">
        <f t="shared" si="1"/>
        <v>658467062.37003994</v>
      </c>
      <c r="Y13" s="71">
        <f t="shared" si="1"/>
        <v>764978148.39284754</v>
      </c>
      <c r="Z13" s="71">
        <f t="shared" si="1"/>
        <v>884504596.24302387</v>
      </c>
    </row>
    <row r="14" spans="1:26" ht="15" customHeight="1" x14ac:dyDescent="0.2">
      <c r="A14" s="42" t="s">
        <v>405</v>
      </c>
      <c r="B14" s="71">
        <f>'3_Giả định'!$B$13+B13</f>
        <v>1100000000</v>
      </c>
      <c r="C14" s="71">
        <f t="shared" ref="C14:Z14" si="2">B14+C13</f>
        <v>816285919.39616001</v>
      </c>
      <c r="D14" s="71">
        <f t="shared" si="2"/>
        <v>561380623.12553406</v>
      </c>
      <c r="E14" s="71">
        <f t="shared" si="2"/>
        <v>334492858.78422809</v>
      </c>
      <c r="F14" s="71">
        <f t="shared" si="2"/>
        <v>135133183.57251862</v>
      </c>
      <c r="G14" s="71">
        <f t="shared" si="2"/>
        <v>-36883682.167881459</v>
      </c>
      <c r="H14" s="71">
        <f t="shared" si="2"/>
        <v>-181432935.13550135</v>
      </c>
      <c r="I14" s="71">
        <f t="shared" si="2"/>
        <v>-298070040.33830488</v>
      </c>
      <c r="J14" s="71">
        <f t="shared" si="2"/>
        <v>-386017143.55541587</v>
      </c>
      <c r="K14" s="71">
        <f t="shared" si="2"/>
        <v>-444145284.16331434</v>
      </c>
      <c r="L14" s="71">
        <f t="shared" si="2"/>
        <v>-470952092.21191132</v>
      </c>
      <c r="M14" s="71">
        <f t="shared" si="2"/>
        <v>-464534593.24375641</v>
      </c>
      <c r="N14" s="71">
        <f t="shared" si="2"/>
        <v>-422556678.02093291</v>
      </c>
      <c r="O14" s="71">
        <f t="shared" si="2"/>
        <v>-342210721.13765037</v>
      </c>
      <c r="P14" s="71">
        <f t="shared" si="2"/>
        <v>-220172751.4274441</v>
      </c>
      <c r="Q14" s="71">
        <f t="shared" si="2"/>
        <v>-52550486.979595542</v>
      </c>
      <c r="R14" s="71">
        <f t="shared" si="2"/>
        <v>165176552.81698692</v>
      </c>
      <c r="S14" s="71">
        <f t="shared" si="2"/>
        <v>438225757.91199458</v>
      </c>
      <c r="T14" s="71">
        <f t="shared" si="2"/>
        <v>772589986.08522451</v>
      </c>
      <c r="U14" s="71">
        <f t="shared" si="2"/>
        <v>1175127135.056344</v>
      </c>
      <c r="V14" s="71">
        <f t="shared" si="2"/>
        <v>1653662051.7242279</v>
      </c>
      <c r="W14" s="71">
        <f t="shared" si="2"/>
        <v>2217102279.2175007</v>
      </c>
      <c r="X14" s="71">
        <f t="shared" si="2"/>
        <v>2875569341.5875406</v>
      </c>
      <c r="Y14" s="71">
        <f t="shared" si="2"/>
        <v>3640547489.9803882</v>
      </c>
      <c r="Z14" s="71">
        <f t="shared" si="2"/>
        <v>4525052086.2234116</v>
      </c>
    </row>
    <row r="15" spans="1:26" ht="15" customHeight="1" x14ac:dyDescent="0.2">
      <c r="A15" s="42" t="s">
        <v>406</v>
      </c>
      <c r="B15" s="71">
        <f>B13</f>
        <v>-400000000</v>
      </c>
      <c r="C15" s="71">
        <f t="shared" ref="C15:Z15" si="3">B15+C13</f>
        <v>-683714080.60383999</v>
      </c>
      <c r="D15" s="71">
        <f t="shared" si="3"/>
        <v>-938619376.87446594</v>
      </c>
      <c r="E15" s="71">
        <f t="shared" si="3"/>
        <v>-1165507141.2157719</v>
      </c>
      <c r="F15" s="71">
        <f t="shared" si="3"/>
        <v>-1364866816.4274814</v>
      </c>
      <c r="G15" s="71">
        <f t="shared" si="3"/>
        <v>-1536883682.1678815</v>
      </c>
      <c r="H15" s="71">
        <f t="shared" si="3"/>
        <v>-1681432935.1355014</v>
      </c>
      <c r="I15" s="71">
        <f t="shared" si="3"/>
        <v>-1798070040.338305</v>
      </c>
      <c r="J15" s="71">
        <f t="shared" si="3"/>
        <v>-1886017143.5554161</v>
      </c>
      <c r="K15" s="71">
        <f t="shared" si="3"/>
        <v>-1944145284.1633146</v>
      </c>
      <c r="L15" s="71">
        <f t="shared" si="3"/>
        <v>-1970952092.2119117</v>
      </c>
      <c r="M15" s="71">
        <f t="shared" si="3"/>
        <v>-1964534593.2437568</v>
      </c>
      <c r="N15" s="71">
        <f t="shared" si="3"/>
        <v>-1922556678.0209332</v>
      </c>
      <c r="O15" s="71">
        <f t="shared" si="3"/>
        <v>-1842210721.1376505</v>
      </c>
      <c r="P15" s="71">
        <f t="shared" si="3"/>
        <v>-1720172751.4274442</v>
      </c>
      <c r="Q15" s="71">
        <f t="shared" si="3"/>
        <v>-1552550486.9795957</v>
      </c>
      <c r="R15" s="71">
        <f t="shared" si="3"/>
        <v>-1334823447.1830132</v>
      </c>
      <c r="S15" s="71">
        <f t="shared" si="3"/>
        <v>-1061774242.0880055</v>
      </c>
      <c r="T15" s="71">
        <f t="shared" si="3"/>
        <v>-727410013.91477561</v>
      </c>
      <c r="U15" s="71">
        <f t="shared" si="3"/>
        <v>-324872864.94365597</v>
      </c>
      <c r="V15" s="71">
        <f t="shared" si="3"/>
        <v>153662051.72422791</v>
      </c>
      <c r="W15" s="71">
        <f t="shared" si="3"/>
        <v>717102279.21750069</v>
      </c>
      <c r="X15" s="71">
        <f t="shared" si="3"/>
        <v>1375569341.5875406</v>
      </c>
      <c r="Y15" s="71">
        <f t="shared" si="3"/>
        <v>2140547489.9803882</v>
      </c>
      <c r="Z15" s="71">
        <f t="shared" si="3"/>
        <v>3025052086.223412</v>
      </c>
    </row>
    <row r="17" spans="1:26" ht="15" customHeight="1" x14ac:dyDescent="0.2">
      <c r="A17" s="69" t="s">
        <v>407</v>
      </c>
    </row>
    <row r="18" spans="1:26" ht="15" customHeight="1" x14ac:dyDescent="0.2">
      <c r="A18" s="42" t="s">
        <v>399</v>
      </c>
      <c r="C18" s="70">
        <f>'3_Giả định'!$C$7*(1+'3_Giả định'!$C$8)^0</f>
        <v>300</v>
      </c>
      <c r="D18" s="70">
        <f>'3_Giả định'!$C$7*(1+'3_Giả định'!$C$8)^1</f>
        <v>324</v>
      </c>
      <c r="E18" s="70">
        <f>'3_Giả định'!$C$7*(1+'3_Giả định'!$C$8)^2</f>
        <v>349.92</v>
      </c>
      <c r="F18" s="70">
        <f>'3_Giả định'!$C$7*(1+'3_Giả định'!$C$8)^3</f>
        <v>377.91360000000003</v>
      </c>
      <c r="G18" s="70">
        <f>'3_Giả định'!$C$7*(1+'3_Giả định'!$C$8)^4</f>
        <v>408.1466880000001</v>
      </c>
      <c r="H18" s="70">
        <f>'3_Giả định'!$C$7*(1+'3_Giả định'!$C$8)^5</f>
        <v>440.7984230400001</v>
      </c>
      <c r="I18" s="70">
        <f>'3_Giả định'!$C$7*(1+'3_Giả định'!$C$8)^6</f>
        <v>476.06229688320019</v>
      </c>
      <c r="J18" s="70">
        <f>'3_Giả định'!$C$7*(1+'3_Giả định'!$C$8)^7</f>
        <v>514.14728063385621</v>
      </c>
      <c r="K18" s="70">
        <f>'3_Giả định'!$C$7*(1+'3_Giả định'!$C$8)^8</f>
        <v>555.27906308456465</v>
      </c>
      <c r="L18" s="70">
        <f>'3_Giả định'!$C$7*(1+'3_Giả định'!$C$8)^9</f>
        <v>599.70138813132996</v>
      </c>
      <c r="M18" s="70">
        <f>'3_Giả định'!$C$7*(1+'3_Giả định'!$C$8)^10</f>
        <v>647.67749918183631</v>
      </c>
      <c r="N18" s="70">
        <f>'3_Giả định'!$C$7*(1+'3_Giả định'!$C$8)^11</f>
        <v>699.49169911638319</v>
      </c>
      <c r="O18" s="70">
        <f>'3_Giả định'!$C$7*(1+'3_Giả định'!$C$8)^12</f>
        <v>755.45103504569397</v>
      </c>
      <c r="P18" s="70">
        <f>'3_Giả định'!$C$7*(1+'3_Giả định'!$C$8)^13</f>
        <v>815.88711784934947</v>
      </c>
      <c r="Q18" s="70">
        <f>'3_Giả định'!$C$7*(1+'3_Giả định'!$C$8)^14</f>
        <v>881.15808727729757</v>
      </c>
      <c r="R18" s="70">
        <f>'3_Giả định'!$C$7*(1+'3_Giả định'!$C$8)^15</f>
        <v>951.65073425948151</v>
      </c>
      <c r="S18" s="70">
        <f>'3_Giả định'!$C$7*(1+'3_Giả định'!$C$8)^16</f>
        <v>1027.78279300024</v>
      </c>
      <c r="T18" s="70">
        <f>'3_Giả định'!$C$7*(1+'3_Giả định'!$C$8)^17</f>
        <v>1110.0054164402591</v>
      </c>
      <c r="U18" s="70">
        <f>'3_Giả định'!$C$7*(1+'3_Giả định'!$C$8)^18</f>
        <v>1198.80584975548</v>
      </c>
      <c r="V18" s="70">
        <f>'3_Giả định'!$C$7*(1+'3_Giả định'!$C$8)^19</f>
        <v>1294.7103177359186</v>
      </c>
      <c r="W18" s="70">
        <f>'3_Giả định'!$C$7*(1+'3_Giả định'!$C$8)^20</f>
        <v>1398.2871431547919</v>
      </c>
      <c r="X18" s="70">
        <f>'3_Giả định'!$C$7*(1+'3_Giả định'!$C$8)^21</f>
        <v>1510.1501146071753</v>
      </c>
      <c r="Y18" s="70">
        <f>'3_Giả định'!$C$7*(1+'3_Giả định'!$C$8)^22</f>
        <v>1630.9621237757497</v>
      </c>
      <c r="Z18" s="70">
        <f>'3_Giả định'!$C$7*(1+'3_Giả định'!$C$8)^23</f>
        <v>1761.4390936778095</v>
      </c>
    </row>
    <row r="19" spans="1:26" ht="15" customHeight="1" x14ac:dyDescent="0.2">
      <c r="A19" s="42" t="s">
        <v>400</v>
      </c>
      <c r="B19">
        <v>0</v>
      </c>
      <c r="C19" s="70">
        <f>B19*(1-'3_Giả định'!$C$9)+C18</f>
        <v>300</v>
      </c>
      <c r="D19" s="70">
        <f>C19*(1-'3_Giả định'!$C$9)+D18</f>
        <v>579</v>
      </c>
      <c r="E19" s="70">
        <f>D19*(1-'3_Giả định'!$C$9)+E18</f>
        <v>842.06999999999994</v>
      </c>
      <c r="F19" s="70">
        <f>E19*(1-'3_Giả định'!$C$9)+F18</f>
        <v>1093.6731</v>
      </c>
      <c r="G19" s="70">
        <f>F19*(1-'3_Giả định'!$C$9)+G18</f>
        <v>1337.7688230000001</v>
      </c>
      <c r="H19" s="70">
        <f>G19*(1-'3_Giả định'!$C$9)+H18</f>
        <v>1577.9019225900001</v>
      </c>
      <c r="I19" s="70">
        <f>H19*(1-'3_Giả định'!$C$9)+I18</f>
        <v>1817.2789310847002</v>
      </c>
      <c r="J19" s="70">
        <f>I19*(1-'3_Giả định'!$C$9)+J18</f>
        <v>2058.8343720558514</v>
      </c>
      <c r="K19" s="70">
        <f>J19*(1-'3_Giả định'!$C$9)+K18</f>
        <v>2305.2882793320382</v>
      </c>
      <c r="L19" s="70">
        <f>K19*(1-'3_Giả định'!$C$9)+L18</f>
        <v>2559.1964255635626</v>
      </c>
      <c r="M19" s="70">
        <f>L19*(1-'3_Giả định'!$C$9)+M18</f>
        <v>2822.9944609108643</v>
      </c>
      <c r="N19" s="70">
        <f>M19*(1-'3_Giả định'!$C$9)+N18</f>
        <v>3099.0369908906177</v>
      </c>
      <c r="O19" s="70">
        <f>N19*(1-'3_Giả định'!$C$9)+O18</f>
        <v>3389.6324773027191</v>
      </c>
      <c r="P19" s="70">
        <f>O19*(1-'3_Giả định'!$C$9)+P18</f>
        <v>3697.0747235566605</v>
      </c>
      <c r="Q19" s="70">
        <f>P19*(1-'3_Giả định'!$C$9)+Q18</f>
        <v>4023.6716023004587</v>
      </c>
      <c r="R19" s="70">
        <f>Q19*(1-'3_Giả định'!$C$9)+R18</f>
        <v>4371.7715962148714</v>
      </c>
      <c r="S19" s="70">
        <f>R19*(1-'3_Giả định'!$C$9)+S18</f>
        <v>4743.7886497828804</v>
      </c>
      <c r="T19" s="70">
        <f>S19*(1-'3_Giả định'!$C$9)+T18</f>
        <v>5142.2257687557067</v>
      </c>
      <c r="U19" s="70">
        <f>T19*(1-'3_Giả định'!$C$9)+U18</f>
        <v>5569.6977531978309</v>
      </c>
      <c r="V19" s="70">
        <f>U19*(1-'3_Giả định'!$C$9)+V18</f>
        <v>6028.9534079540745</v>
      </c>
      <c r="W19" s="70">
        <f>V19*(1-'3_Giả định'!$C$9)+W18</f>
        <v>6522.8975399157553</v>
      </c>
      <c r="X19" s="70">
        <f>W19*(1-'3_Giả định'!$C$9)+X18</f>
        <v>7054.6130235355668</v>
      </c>
      <c r="Y19" s="70">
        <f>X19*(1-'3_Giả định'!$C$9)+Y18</f>
        <v>7627.3831937809809</v>
      </c>
      <c r="Z19" s="70">
        <f>Y19*(1-'3_Giả định'!$C$9)+Z18</f>
        <v>8244.7148083916436</v>
      </c>
    </row>
    <row r="20" spans="1:26" ht="15" customHeight="1" x14ac:dyDescent="0.2">
      <c r="A20" s="42" t="s">
        <v>94</v>
      </c>
      <c r="C20" s="71">
        <f>C19*'3_Giả định'!$C$17</f>
        <v>41850000</v>
      </c>
      <c r="D20" s="71">
        <f>D19*'3_Giả định'!$C$17</f>
        <v>80770500</v>
      </c>
      <c r="E20" s="71">
        <f>E19*'3_Giả định'!$C$17</f>
        <v>117468764.99999999</v>
      </c>
      <c r="F20" s="71">
        <f>F19*'3_Giả định'!$C$17</f>
        <v>152567397.44999999</v>
      </c>
      <c r="G20" s="71">
        <f>G19*'3_Giả định'!$C$17</f>
        <v>186618750.80850002</v>
      </c>
      <c r="H20" s="71">
        <f>H19*'3_Giả định'!$C$17</f>
        <v>220117318.20130503</v>
      </c>
      <c r="I20" s="71">
        <f>I19*'3_Giả định'!$C$17</f>
        <v>253510410.88631567</v>
      </c>
      <c r="J20" s="71">
        <f>J19*'3_Giả định'!$C$17</f>
        <v>287207394.90179127</v>
      </c>
      <c r="K20" s="71">
        <f>K19*'3_Giả định'!$C$17</f>
        <v>321587714.96681935</v>
      </c>
      <c r="L20" s="71">
        <f>L19*'3_Giả định'!$C$17</f>
        <v>357007901.366117</v>
      </c>
      <c r="M20" s="71">
        <f>M19*'3_Giả định'!$C$17</f>
        <v>393807727.29706556</v>
      </c>
      <c r="N20" s="71">
        <f>N19*'3_Giả định'!$C$17</f>
        <v>432315660.22924119</v>
      </c>
      <c r="O20" s="71">
        <f>O19*'3_Giả định'!$C$17</f>
        <v>472853730.58372933</v>
      </c>
      <c r="P20" s="71">
        <f>P19*'3_Giả định'!$C$17</f>
        <v>515741923.93615413</v>
      </c>
      <c r="Q20" s="71">
        <f>Q19*'3_Giả định'!$C$17</f>
        <v>561302188.52091396</v>
      </c>
      <c r="R20" s="71">
        <f>R19*'3_Giả định'!$C$17</f>
        <v>609862137.67197454</v>
      </c>
      <c r="S20" s="71">
        <f>S19*'3_Giả định'!$C$17</f>
        <v>661758516.64471185</v>
      </c>
      <c r="T20" s="71">
        <f>T19*'3_Giả định'!$C$17</f>
        <v>717340494.7414211</v>
      </c>
      <c r="U20" s="71">
        <f>U19*'3_Giả định'!$C$17</f>
        <v>776972836.57109737</v>
      </c>
      <c r="V20" s="71">
        <f>V19*'3_Giả định'!$C$17</f>
        <v>841039000.40959334</v>
      </c>
      <c r="W20" s="71">
        <f>W19*'3_Giả định'!$C$17</f>
        <v>909944206.81824791</v>
      </c>
      <c r="X20" s="71">
        <f>X19*'3_Giả định'!$C$17</f>
        <v>984118516.78321159</v>
      </c>
      <c r="Y20" s="71">
        <f>Y19*'3_Giả định'!$C$17</f>
        <v>1064019955.5324469</v>
      </c>
      <c r="Z20" s="71">
        <f>Z19*'3_Giả định'!$C$17</f>
        <v>1150137715.7706342</v>
      </c>
    </row>
    <row r="21" spans="1:26" ht="15" customHeight="1" x14ac:dyDescent="0.2">
      <c r="A21" s="42" t="s">
        <v>401</v>
      </c>
      <c r="C21" s="71">
        <f>C19*'3_Giả định'!$C$18</f>
        <v>4409897.9520000005</v>
      </c>
      <c r="D21" s="71">
        <f>D19*'3_Giả định'!$C$18</f>
        <v>8511103.0473599993</v>
      </c>
      <c r="E21" s="71">
        <f>E19*'3_Giả định'!$C$18</f>
        <v>12378142.561468799</v>
      </c>
      <c r="F21" s="71">
        <f>F19*'3_Giả định'!$C$18</f>
        <v>16076622.546158304</v>
      </c>
      <c r="G21" s="71">
        <f>G19*'3_Giả định'!$C$18</f>
        <v>19664746.642657172</v>
      </c>
      <c r="H21" s="71">
        <f>H19*'3_Giả định'!$C$18</f>
        <v>23194621.522955015</v>
      </c>
      <c r="I21" s="71">
        <f>I19*'3_Giả định'!$C$18</f>
        <v>26713382.121343896</v>
      </c>
      <c r="J21" s="71">
        <f>J19*'3_Giả định'!$C$18</f>
        <v>30264164.936121017</v>
      </c>
      <c r="K21" s="71">
        <f>K19*'3_Giả định'!$C$18</f>
        <v>33886953.539319865</v>
      </c>
      <c r="L21" s="71">
        <f>L19*'3_Giả định'!$C$18</f>
        <v>37619316.919528253</v>
      </c>
      <c r="M21" s="71">
        <f>M19*'3_Giả định'!$C$18</f>
        <v>41497058.305593885</v>
      </c>
      <c r="N21" s="71">
        <f>N19*'3_Giả định'!$C$18</f>
        <v>45554789.597669259</v>
      </c>
      <c r="O21" s="71">
        <f>O19*'3_Giả định'!$C$18</f>
        <v>49826444.398966491</v>
      </c>
      <c r="P21" s="71">
        <f>P19*'3_Giả định'!$C$18</f>
        <v>54345740.839344949</v>
      </c>
      <c r="Q21" s="71">
        <f>Q19*'3_Giả định'!$C$18</f>
        <v>59146603.861684509</v>
      </c>
      <c r="R21" s="71">
        <f>R19*'3_Giả định'!$C$18</f>
        <v>64263555.362532444</v>
      </c>
      <c r="S21" s="71">
        <f>S19*'3_Giả định'!$C$18</f>
        <v>69732079.504661232</v>
      </c>
      <c r="T21" s="71">
        <f>T19*'3_Giả định'!$C$18</f>
        <v>75588969.621191382</v>
      </c>
      <c r="U21" s="71">
        <f>U19*'3_Giả định'!$C$18</f>
        <v>81872662.383620381</v>
      </c>
      <c r="V21" s="71">
        <f>V19*'3_Giả định'!$C$18</f>
        <v>88623564.288133651</v>
      </c>
      <c r="W21" s="71">
        <f>W19*'3_Giả định'!$C$18</f>
        <v>95884375.007934421</v>
      </c>
      <c r="X21" s="71">
        <f>X19*'3_Giả định'!$C$18</f>
        <v>103700411.74880674</v>
      </c>
      <c r="Y21" s="71">
        <f>Y19*'3_Giả định'!$C$18</f>
        <v>112119938.41791323</v>
      </c>
      <c r="Z21" s="71">
        <f>Z19*'3_Giả định'!$C$18</f>
        <v>121194503.16116793</v>
      </c>
    </row>
    <row r="22" spans="1:26" ht="15" customHeight="1" x14ac:dyDescent="0.2">
      <c r="A22" s="42" t="s">
        <v>96</v>
      </c>
      <c r="C22" s="71">
        <f t="shared" ref="C22:Z22" si="4">C20-C21</f>
        <v>37440102.048</v>
      </c>
      <c r="D22" s="71">
        <f t="shared" si="4"/>
        <v>72259396.952639997</v>
      </c>
      <c r="E22" s="71">
        <f t="shared" si="4"/>
        <v>105090622.43853119</v>
      </c>
      <c r="F22" s="71">
        <f t="shared" si="4"/>
        <v>136490774.90384167</v>
      </c>
      <c r="G22" s="71">
        <f t="shared" si="4"/>
        <v>166954004.16584286</v>
      </c>
      <c r="H22" s="71">
        <f t="shared" si="4"/>
        <v>196922696.67835003</v>
      </c>
      <c r="I22" s="71">
        <f t="shared" si="4"/>
        <v>226797028.76497179</v>
      </c>
      <c r="J22" s="71">
        <f t="shared" si="4"/>
        <v>256943229.96567026</v>
      </c>
      <c r="K22" s="71">
        <f t="shared" si="4"/>
        <v>287700761.42749947</v>
      </c>
      <c r="L22" s="71">
        <f t="shared" si="4"/>
        <v>319388584.44658875</v>
      </c>
      <c r="M22" s="71">
        <f t="shared" si="4"/>
        <v>352310668.99147165</v>
      </c>
      <c r="N22" s="71">
        <f t="shared" si="4"/>
        <v>386760870.63157195</v>
      </c>
      <c r="O22" s="71">
        <f t="shared" si="4"/>
        <v>423027286.18476284</v>
      </c>
      <c r="P22" s="71">
        <f t="shared" si="4"/>
        <v>461396183.09680915</v>
      </c>
      <c r="Q22" s="71">
        <f t="shared" si="4"/>
        <v>502155584.65922946</v>
      </c>
      <c r="R22" s="71">
        <f t="shared" si="4"/>
        <v>545598582.30944204</v>
      </c>
      <c r="S22" s="71">
        <f t="shared" si="4"/>
        <v>592026437.14005065</v>
      </c>
      <c r="T22" s="71">
        <f t="shared" si="4"/>
        <v>641751525.12022972</v>
      </c>
      <c r="U22" s="71">
        <f t="shared" si="4"/>
        <v>695100174.18747699</v>
      </c>
      <c r="V22" s="71">
        <f t="shared" si="4"/>
        <v>752415436.12145972</v>
      </c>
      <c r="W22" s="71">
        <f t="shared" si="4"/>
        <v>814059831.81031346</v>
      </c>
      <c r="X22" s="71">
        <f t="shared" si="4"/>
        <v>880418105.03440487</v>
      </c>
      <c r="Y22" s="71">
        <f t="shared" si="4"/>
        <v>951900017.11453366</v>
      </c>
      <c r="Z22" s="71">
        <f t="shared" si="4"/>
        <v>1028943212.6094662</v>
      </c>
    </row>
    <row r="23" spans="1:26" ht="15" customHeight="1" x14ac:dyDescent="0.2">
      <c r="A23" s="42" t="s">
        <v>402</v>
      </c>
      <c r="C23" s="71">
        <f>C18*'3_Giả định'!$C$10</f>
        <v>210000000</v>
      </c>
      <c r="D23" s="71">
        <f>D18*'3_Giả định'!$C$10</f>
        <v>226800000</v>
      </c>
      <c r="E23" s="71">
        <f>E18*'3_Giả định'!$C$10</f>
        <v>244944000</v>
      </c>
      <c r="F23" s="71">
        <f>F18*'3_Giả định'!$C$10</f>
        <v>264539520.00000003</v>
      </c>
      <c r="G23" s="71">
        <f>G18*'3_Giả định'!$C$10</f>
        <v>285702681.60000008</v>
      </c>
      <c r="H23" s="71">
        <f>H18*'3_Giả định'!$C$10</f>
        <v>308558896.12800008</v>
      </c>
      <c r="I23" s="71">
        <f>I18*'3_Giả định'!$C$10</f>
        <v>333243607.81824011</v>
      </c>
      <c r="J23" s="71">
        <f>J18*'3_Giả định'!$C$10</f>
        <v>359903096.44369936</v>
      </c>
      <c r="K23" s="71">
        <f>K18*'3_Giả định'!$C$10</f>
        <v>388695344.15919524</v>
      </c>
      <c r="L23" s="71">
        <f>L18*'3_Giả định'!$C$10</f>
        <v>419790971.69193095</v>
      </c>
      <c r="M23" s="71">
        <f>M18*'3_Giả định'!$C$10</f>
        <v>453374249.42728543</v>
      </c>
      <c r="N23" s="71">
        <f>N18*'3_Giả định'!$C$10</f>
        <v>489644189.38146824</v>
      </c>
      <c r="O23" s="71">
        <f>O18*'3_Giả định'!$C$10</f>
        <v>528815724.53198576</v>
      </c>
      <c r="P23" s="71">
        <f>P18*'3_Giả định'!$C$10</f>
        <v>571120982.49454463</v>
      </c>
      <c r="Q23" s="71">
        <f>Q18*'3_Giả định'!$C$10</f>
        <v>616810661.09410834</v>
      </c>
      <c r="R23" s="71">
        <f>R18*'3_Giả định'!$C$10</f>
        <v>666155513.981637</v>
      </c>
      <c r="S23" s="71">
        <f>S18*'3_Giả định'!$C$10</f>
        <v>719447955.10016799</v>
      </c>
      <c r="T23" s="71">
        <f>T18*'3_Giả định'!$C$10</f>
        <v>777003791.50818133</v>
      </c>
      <c r="U23" s="71">
        <f>U18*'3_Giả định'!$C$10</f>
        <v>839164094.82883608</v>
      </c>
      <c r="V23" s="71">
        <f>V18*'3_Giả định'!$C$10</f>
        <v>906297222.41514301</v>
      </c>
      <c r="W23" s="71">
        <f>W18*'3_Giả định'!$C$10</f>
        <v>978801000.20835435</v>
      </c>
      <c r="X23" s="71">
        <f>X18*'3_Giả định'!$C$10</f>
        <v>1057105080.2250227</v>
      </c>
      <c r="Y23" s="71">
        <f>Y18*'3_Giả định'!$C$10</f>
        <v>1141673486.6430247</v>
      </c>
      <c r="Z23" s="71">
        <f>Z18*'3_Giả định'!$C$10</f>
        <v>1233007365.5744667</v>
      </c>
    </row>
    <row r="24" spans="1:26" ht="15" customHeight="1" x14ac:dyDescent="0.2">
      <c r="A24" s="42" t="s">
        <v>403</v>
      </c>
      <c r="C24" s="71">
        <f>'3_Giả định'!$C$11</f>
        <v>120000000</v>
      </c>
      <c r="D24" s="71">
        <f>'3_Giả định'!$C$11</f>
        <v>120000000</v>
      </c>
      <c r="E24" s="71">
        <f>'3_Giả định'!$C$11</f>
        <v>120000000</v>
      </c>
      <c r="F24" s="71">
        <f>'3_Giả định'!$C$11</f>
        <v>120000000</v>
      </c>
      <c r="G24" s="71">
        <f>'3_Giả định'!$C$11</f>
        <v>120000000</v>
      </c>
      <c r="H24" s="71">
        <f>'3_Giả định'!$C$11</f>
        <v>120000000</v>
      </c>
      <c r="I24" s="71">
        <f>'3_Giả định'!$C$11</f>
        <v>120000000</v>
      </c>
      <c r="J24" s="71">
        <f>'3_Giả định'!$C$11</f>
        <v>120000000</v>
      </c>
      <c r="K24" s="71">
        <f>'3_Giả định'!$C$11</f>
        <v>120000000</v>
      </c>
      <c r="L24" s="71">
        <f>'3_Giả định'!$C$11</f>
        <v>120000000</v>
      </c>
      <c r="M24" s="71">
        <f>'3_Giả định'!$C$11</f>
        <v>120000000</v>
      </c>
      <c r="N24" s="71">
        <f>'3_Giả định'!$C$11</f>
        <v>120000000</v>
      </c>
      <c r="O24" s="71">
        <f>'3_Giả định'!$C$11</f>
        <v>120000000</v>
      </c>
      <c r="P24" s="71">
        <f>'3_Giả định'!$C$11</f>
        <v>120000000</v>
      </c>
      <c r="Q24" s="71">
        <f>'3_Giả định'!$C$11</f>
        <v>120000000</v>
      </c>
      <c r="R24" s="71">
        <f>'3_Giả định'!$C$11</f>
        <v>120000000</v>
      </c>
      <c r="S24" s="71">
        <f>'3_Giả định'!$C$11</f>
        <v>120000000</v>
      </c>
      <c r="T24" s="71">
        <f>'3_Giả định'!$C$11</f>
        <v>120000000</v>
      </c>
      <c r="U24" s="71">
        <f>'3_Giả định'!$C$11</f>
        <v>120000000</v>
      </c>
      <c r="V24" s="71">
        <f>'3_Giả định'!$C$11</f>
        <v>120000000</v>
      </c>
      <c r="W24" s="71">
        <f>'3_Giả định'!$C$11</f>
        <v>120000000</v>
      </c>
      <c r="X24" s="71">
        <f>'3_Giả định'!$C$11</f>
        <v>120000000</v>
      </c>
      <c r="Y24" s="71">
        <f>'3_Giả định'!$C$11</f>
        <v>120000000</v>
      </c>
      <c r="Z24" s="71">
        <f>'3_Giả định'!$C$11</f>
        <v>120000000</v>
      </c>
    </row>
    <row r="25" spans="1:26" ht="15" customHeight="1" x14ac:dyDescent="0.2">
      <c r="A25" s="42" t="s">
        <v>404</v>
      </c>
      <c r="B25" s="71">
        <f>-'3_Giả định'!$C$12</f>
        <v>-400000000</v>
      </c>
      <c r="C25" s="71">
        <f t="shared" ref="C25:Z25" si="5">C22-C23-C24</f>
        <v>-292559897.95200002</v>
      </c>
      <c r="D25" s="71">
        <f t="shared" si="5"/>
        <v>-274540603.04736</v>
      </c>
      <c r="E25" s="71">
        <f t="shared" si="5"/>
        <v>-259853377.56146881</v>
      </c>
      <c r="F25" s="71">
        <f t="shared" si="5"/>
        <v>-248048745.09615836</v>
      </c>
      <c r="G25" s="71">
        <f t="shared" si="5"/>
        <v>-238748677.43415722</v>
      </c>
      <c r="H25" s="71">
        <f t="shared" si="5"/>
        <v>-231636199.44965005</v>
      </c>
      <c r="I25" s="71">
        <f t="shared" si="5"/>
        <v>-226446579.05326831</v>
      </c>
      <c r="J25" s="71">
        <f t="shared" si="5"/>
        <v>-222959866.4780291</v>
      </c>
      <c r="K25" s="71">
        <f t="shared" si="5"/>
        <v>-220994582.73169577</v>
      </c>
      <c r="L25" s="71">
        <f t="shared" si="5"/>
        <v>-220402387.2453422</v>
      </c>
      <c r="M25" s="71">
        <f t="shared" si="5"/>
        <v>-221063580.43581378</v>
      </c>
      <c r="N25" s="71">
        <f t="shared" si="5"/>
        <v>-222883318.74989629</v>
      </c>
      <c r="O25" s="71">
        <f t="shared" si="5"/>
        <v>-225788438.34722292</v>
      </c>
      <c r="P25" s="71">
        <f t="shared" si="5"/>
        <v>-229724799.39773548</v>
      </c>
      <c r="Q25" s="71">
        <f t="shared" si="5"/>
        <v>-234655076.43487889</v>
      </c>
      <c r="R25" s="71">
        <f t="shared" si="5"/>
        <v>-240556931.67219496</v>
      </c>
      <c r="S25" s="71">
        <f t="shared" si="5"/>
        <v>-247421517.96011734</v>
      </c>
      <c r="T25" s="71">
        <f t="shared" si="5"/>
        <v>-255252266.38795161</v>
      </c>
      <c r="U25" s="71">
        <f t="shared" si="5"/>
        <v>-264063920.64135909</v>
      </c>
      <c r="V25" s="71">
        <f t="shared" si="5"/>
        <v>-273881786.29368329</v>
      </c>
      <c r="W25" s="71">
        <f t="shared" si="5"/>
        <v>-284741168.39804089</v>
      </c>
      <c r="X25" s="71">
        <f t="shared" si="5"/>
        <v>-296686975.1906178</v>
      </c>
      <c r="Y25" s="71">
        <f t="shared" si="5"/>
        <v>-309773469.52849102</v>
      </c>
      <c r="Z25" s="71">
        <f t="shared" si="5"/>
        <v>-324064152.96500051</v>
      </c>
    </row>
    <row r="26" spans="1:26" ht="15" customHeight="1" x14ac:dyDescent="0.2">
      <c r="A26" s="42" t="s">
        <v>405</v>
      </c>
      <c r="B26" s="71">
        <f>'3_Giả định'!$C$13+B25</f>
        <v>1100000000</v>
      </c>
      <c r="C26" s="71">
        <f t="shared" ref="C26:Z26" si="6">B26+C25</f>
        <v>807440102.04799998</v>
      </c>
      <c r="D26" s="71">
        <f t="shared" si="6"/>
        <v>532899499.00063998</v>
      </c>
      <c r="E26" s="71">
        <f t="shared" si="6"/>
        <v>273046121.4391712</v>
      </c>
      <c r="F26" s="71">
        <f t="shared" si="6"/>
        <v>24997376.34301284</v>
      </c>
      <c r="G26" s="71">
        <f t="shared" si="6"/>
        <v>-213751301.09114438</v>
      </c>
      <c r="H26" s="71">
        <f t="shared" si="6"/>
        <v>-445387500.54079443</v>
      </c>
      <c r="I26" s="71">
        <f t="shared" si="6"/>
        <v>-671834079.59406281</v>
      </c>
      <c r="J26" s="71">
        <f t="shared" si="6"/>
        <v>-894793946.07209194</v>
      </c>
      <c r="K26" s="71">
        <f t="shared" si="6"/>
        <v>-1115788528.8037877</v>
      </c>
      <c r="L26" s="71">
        <f t="shared" si="6"/>
        <v>-1336190916.04913</v>
      </c>
      <c r="M26" s="71">
        <f t="shared" si="6"/>
        <v>-1557254496.4849439</v>
      </c>
      <c r="N26" s="71">
        <f t="shared" si="6"/>
        <v>-1780137815.2348402</v>
      </c>
      <c r="O26" s="71">
        <f t="shared" si="6"/>
        <v>-2005926253.5820632</v>
      </c>
      <c r="P26" s="71">
        <f t="shared" si="6"/>
        <v>-2235651052.9797988</v>
      </c>
      <c r="Q26" s="71">
        <f t="shared" si="6"/>
        <v>-2470306129.4146776</v>
      </c>
      <c r="R26" s="71">
        <f t="shared" si="6"/>
        <v>-2710863061.0868726</v>
      </c>
      <c r="S26" s="71">
        <f t="shared" si="6"/>
        <v>-2958284579.0469899</v>
      </c>
      <c r="T26" s="71">
        <f t="shared" si="6"/>
        <v>-3213536845.4349413</v>
      </c>
      <c r="U26" s="71">
        <f t="shared" si="6"/>
        <v>-3477600766.0763006</v>
      </c>
      <c r="V26" s="71">
        <f t="shared" si="6"/>
        <v>-3751482552.3699837</v>
      </c>
      <c r="W26" s="71">
        <f t="shared" si="6"/>
        <v>-4036223720.7680244</v>
      </c>
      <c r="X26" s="71">
        <f t="shared" si="6"/>
        <v>-4332910695.958642</v>
      </c>
      <c r="Y26" s="71">
        <f t="shared" si="6"/>
        <v>-4642684165.487133</v>
      </c>
      <c r="Z26" s="71">
        <f t="shared" si="6"/>
        <v>-4966748318.4521332</v>
      </c>
    </row>
    <row r="27" spans="1:26" ht="15" customHeight="1" x14ac:dyDescent="0.2">
      <c r="A27" s="42" t="s">
        <v>406</v>
      </c>
      <c r="B27" s="71">
        <f>B25</f>
        <v>-400000000</v>
      </c>
      <c r="C27" s="71">
        <f t="shared" ref="C27:Z27" si="7">B27+C25</f>
        <v>-692559897.95200002</v>
      </c>
      <c r="D27" s="71">
        <f t="shared" si="7"/>
        <v>-967100500.99936008</v>
      </c>
      <c r="E27" s="71">
        <f t="shared" si="7"/>
        <v>-1226953878.5608289</v>
      </c>
      <c r="F27" s="71">
        <f t="shared" si="7"/>
        <v>-1475002623.6569872</v>
      </c>
      <c r="G27" s="71">
        <f t="shared" si="7"/>
        <v>-1713751301.0911443</v>
      </c>
      <c r="H27" s="71">
        <f t="shared" si="7"/>
        <v>-1945387500.5407944</v>
      </c>
      <c r="I27" s="71">
        <f t="shared" si="7"/>
        <v>-2171834079.5940628</v>
      </c>
      <c r="J27" s="71">
        <f t="shared" si="7"/>
        <v>-2394793946.0720921</v>
      </c>
      <c r="K27" s="71">
        <f t="shared" si="7"/>
        <v>-2615788528.8037877</v>
      </c>
      <c r="L27" s="71">
        <f t="shared" si="7"/>
        <v>-2836190916.04913</v>
      </c>
      <c r="M27" s="71">
        <f t="shared" si="7"/>
        <v>-3057254496.4849439</v>
      </c>
      <c r="N27" s="71">
        <f t="shared" si="7"/>
        <v>-3280137815.2348404</v>
      </c>
      <c r="O27" s="71">
        <f t="shared" si="7"/>
        <v>-3505926253.5820632</v>
      </c>
      <c r="P27" s="71">
        <f t="shared" si="7"/>
        <v>-3735651052.9797988</v>
      </c>
      <c r="Q27" s="71">
        <f t="shared" si="7"/>
        <v>-3970306129.4146776</v>
      </c>
      <c r="R27" s="71">
        <f t="shared" si="7"/>
        <v>-4210863061.0868726</v>
      </c>
      <c r="S27" s="71">
        <f t="shared" si="7"/>
        <v>-4458284579.0469894</v>
      </c>
      <c r="T27" s="71">
        <f t="shared" si="7"/>
        <v>-4713536845.4349413</v>
      </c>
      <c r="U27" s="71">
        <f t="shared" si="7"/>
        <v>-4977600766.0763006</v>
      </c>
      <c r="V27" s="71">
        <f t="shared" si="7"/>
        <v>-5251482552.3699837</v>
      </c>
      <c r="W27" s="71">
        <f t="shared" si="7"/>
        <v>-5536223720.7680244</v>
      </c>
      <c r="X27" s="71">
        <f t="shared" si="7"/>
        <v>-5832910695.958642</v>
      </c>
      <c r="Y27" s="71">
        <f t="shared" si="7"/>
        <v>-6142684165.487133</v>
      </c>
      <c r="Z27" s="71">
        <f t="shared" si="7"/>
        <v>-6466748318.4521332</v>
      </c>
    </row>
    <row r="29" spans="1:26" ht="15" customHeight="1" x14ac:dyDescent="0.2">
      <c r="A29" s="69" t="s">
        <v>408</v>
      </c>
    </row>
    <row r="30" spans="1:26" ht="15" customHeight="1" x14ac:dyDescent="0.2">
      <c r="A30" s="42" t="s">
        <v>399</v>
      </c>
      <c r="C30" s="70">
        <f>'3_Giả định'!$D$7*(1+'3_Giả định'!$D$8)^0</f>
        <v>150</v>
      </c>
      <c r="D30" s="70">
        <f>'3_Giả định'!$D$7*(1+'3_Giả định'!$D$8)^1</f>
        <v>154.80000000000001</v>
      </c>
      <c r="E30" s="70">
        <f>'3_Giả định'!$D$7*(1+'3_Giả định'!$D$8)^2</f>
        <v>159.75360000000001</v>
      </c>
      <c r="F30" s="70">
        <f>'3_Giả định'!$D$7*(1+'3_Giả định'!$D$8)^3</f>
        <v>164.86571519999998</v>
      </c>
      <c r="G30" s="70">
        <f>'3_Giả định'!$D$7*(1+'3_Giả định'!$D$8)^4</f>
        <v>170.14141808639999</v>
      </c>
      <c r="H30" s="70">
        <f>'3_Giả định'!$D$7*(1+'3_Giả định'!$D$8)^5</f>
        <v>175.5859434651648</v>
      </c>
      <c r="I30" s="70">
        <f>'3_Giả định'!$D$7*(1+'3_Giả định'!$D$8)^6</f>
        <v>181.20469365605004</v>
      </c>
      <c r="J30" s="70">
        <f>'3_Giả định'!$D$7*(1+'3_Giả định'!$D$8)^7</f>
        <v>187.00324385304364</v>
      </c>
      <c r="K30" s="70">
        <f>'3_Giả định'!$D$7*(1+'3_Giả định'!$D$8)^8</f>
        <v>192.98734765634106</v>
      </c>
      <c r="L30" s="70">
        <f>'3_Giả định'!$D$7*(1+'3_Giả định'!$D$8)^9</f>
        <v>199.16294278134399</v>
      </c>
      <c r="M30" s="70">
        <f>'3_Giả định'!$D$7*(1+'3_Giả định'!$D$8)^10</f>
        <v>205.53615695034696</v>
      </c>
      <c r="N30" s="70">
        <f>'3_Giả định'!$D$7*(1+'3_Giả định'!$D$8)^11</f>
        <v>212.11331397275808</v>
      </c>
      <c r="O30" s="70">
        <f>'3_Giả định'!$D$7*(1+'3_Giả định'!$D$8)^12</f>
        <v>218.90094001988635</v>
      </c>
      <c r="P30" s="70">
        <f>'3_Giả định'!$D$7*(1+'3_Giả định'!$D$8)^13</f>
        <v>225.90577010052272</v>
      </c>
      <c r="Q30" s="70">
        <f>'3_Giả định'!$D$7*(1+'3_Giả định'!$D$8)^14</f>
        <v>233.13475474373939</v>
      </c>
      <c r="R30" s="70">
        <f>'3_Giả định'!$D$7*(1+'3_Giả định'!$D$8)^15</f>
        <v>240.59506689553902</v>
      </c>
      <c r="S30" s="70">
        <f>'3_Giả định'!$D$7*(1+'3_Giả định'!$D$8)^16</f>
        <v>248.29410903619632</v>
      </c>
      <c r="T30" s="70">
        <f>'3_Giả định'!$D$7*(1+'3_Giả định'!$D$8)^17</f>
        <v>256.23952052535464</v>
      </c>
      <c r="U30" s="70">
        <f>'3_Giả định'!$D$7*(1+'3_Giả định'!$D$8)^18</f>
        <v>264.43918518216594</v>
      </c>
      <c r="V30" s="70">
        <f>'3_Giả định'!$D$7*(1+'3_Giả định'!$D$8)^19</f>
        <v>272.90123910799525</v>
      </c>
      <c r="W30" s="70">
        <f>'3_Giả định'!$D$7*(1+'3_Giả định'!$D$8)^20</f>
        <v>281.63407875945109</v>
      </c>
      <c r="X30" s="70">
        <f>'3_Giả định'!$D$7*(1+'3_Giả định'!$D$8)^21</f>
        <v>290.64636927975357</v>
      </c>
      <c r="Y30" s="70">
        <f>'3_Giả định'!$D$7*(1+'3_Giả định'!$D$8)^22</f>
        <v>299.94705309670564</v>
      </c>
      <c r="Z30" s="70">
        <f>'3_Giả định'!$D$7*(1+'3_Giả định'!$D$8)^23</f>
        <v>309.54535879580021</v>
      </c>
    </row>
    <row r="31" spans="1:26" ht="15" customHeight="1" x14ac:dyDescent="0.2">
      <c r="A31" s="42" t="s">
        <v>400</v>
      </c>
      <c r="B31">
        <v>0</v>
      </c>
      <c r="C31" s="70">
        <f>B31*(1-'3_Giả định'!$D$9)+C30</f>
        <v>150</v>
      </c>
      <c r="D31" s="70">
        <f>C31*(1-'3_Giả định'!$D$9)+D30</f>
        <v>268.8</v>
      </c>
      <c r="E31" s="70">
        <f>D31*(1-'3_Giả định'!$D$9)+E30</f>
        <v>364.04160000000002</v>
      </c>
      <c r="F31" s="70">
        <f>E31*(1-'3_Giả định'!$D$9)+F30</f>
        <v>441.53733120000004</v>
      </c>
      <c r="G31" s="70">
        <f>F31*(1-'3_Giả định'!$D$9)+G30</f>
        <v>505.70978979840004</v>
      </c>
      <c r="H31" s="70">
        <f>G31*(1-'3_Giả định'!$D$9)+H30</f>
        <v>559.92538371194883</v>
      </c>
      <c r="I31" s="70">
        <f>H31*(1-'3_Giả định'!$D$9)+I30</f>
        <v>606.74798527713119</v>
      </c>
      <c r="J31" s="70">
        <f>I31*(1-'3_Giả định'!$D$9)+J30</f>
        <v>648.13171266366339</v>
      </c>
      <c r="K31" s="70">
        <f>J31*(1-'3_Giả định'!$D$9)+K30</f>
        <v>685.56744928072521</v>
      </c>
      <c r="L31" s="70">
        <f>K31*(1-'3_Giả định'!$D$9)+L30</f>
        <v>720.19420423469512</v>
      </c>
      <c r="M31" s="70">
        <f>L31*(1-'3_Giả định'!$D$9)+M30</f>
        <v>752.8837521687152</v>
      </c>
      <c r="N31" s="70">
        <f>M31*(1-'3_Giả định'!$D$9)+N30</f>
        <v>784.30496562098165</v>
      </c>
      <c r="O31" s="70">
        <f>N31*(1-'3_Giả định'!$D$9)+O30</f>
        <v>814.97271389183243</v>
      </c>
      <c r="P31" s="70">
        <f>O31*(1-'3_Giả định'!$D$9)+P30</f>
        <v>845.28503265831546</v>
      </c>
      <c r="Q31" s="70">
        <f>P31*(1-'3_Giả định'!$D$9)+Q30</f>
        <v>875.55137956405906</v>
      </c>
      <c r="R31" s="70">
        <f>Q31*(1-'3_Giả định'!$D$9)+R30</f>
        <v>906.01411536422393</v>
      </c>
      <c r="S31" s="70">
        <f>R31*(1-'3_Giả định'!$D$9)+S30</f>
        <v>936.86483671300653</v>
      </c>
      <c r="T31" s="70">
        <f>S31*(1-'3_Giả định'!$D$9)+T30</f>
        <v>968.25679642723958</v>
      </c>
      <c r="U31" s="70">
        <f>T31*(1-'3_Giả định'!$D$9)+U30</f>
        <v>1000.3143504668681</v>
      </c>
      <c r="V31" s="70">
        <f>U31*(1-'3_Giả định'!$D$9)+V30</f>
        <v>1033.1401454628149</v>
      </c>
      <c r="W31" s="70">
        <f>V31*(1-'3_Giả định'!$D$9)+W30</f>
        <v>1066.8205893111904</v>
      </c>
      <c r="X31" s="70">
        <f>W31*(1-'3_Giả định'!$D$9)+X30</f>
        <v>1101.4300171562581</v>
      </c>
      <c r="Y31" s="70">
        <f>X31*(1-'3_Giả định'!$D$9)+Y30</f>
        <v>1137.0338661354617</v>
      </c>
      <c r="Z31" s="70">
        <f>Y31*(1-'3_Giả định'!$D$9)+Z30</f>
        <v>1173.691097058751</v>
      </c>
    </row>
    <row r="32" spans="1:26" ht="15" customHeight="1" x14ac:dyDescent="0.2">
      <c r="A32" s="42" t="s">
        <v>94</v>
      </c>
      <c r="C32" s="71">
        <f>C31*'3_Giả định'!$D$17</f>
        <v>16740000</v>
      </c>
      <c r="D32" s="71">
        <f>D31*'3_Giả định'!$D$17</f>
        <v>29998080</v>
      </c>
      <c r="E32" s="71">
        <f>E31*'3_Giả định'!$D$17</f>
        <v>40627042.560000002</v>
      </c>
      <c r="F32" s="71">
        <f>F31*'3_Giả định'!$D$17</f>
        <v>49275566.161920004</v>
      </c>
      <c r="G32" s="71">
        <f>G31*'3_Giả định'!$D$17</f>
        <v>56437212.541501448</v>
      </c>
      <c r="H32" s="71">
        <f>H31*'3_Giả định'!$D$17</f>
        <v>62487672.822253488</v>
      </c>
      <c r="I32" s="71">
        <f>I31*'3_Giả định'!$D$17</f>
        <v>67713075.156927839</v>
      </c>
      <c r="J32" s="71">
        <f>J31*'3_Giả định'!$D$17</f>
        <v>72331499.13326484</v>
      </c>
      <c r="K32" s="71">
        <f>K31*'3_Giả định'!$D$17</f>
        <v>76509327.339728937</v>
      </c>
      <c r="L32" s="71">
        <f>L31*'3_Giả định'!$D$17</f>
        <v>80373673.19259198</v>
      </c>
      <c r="M32" s="71">
        <f>M31*'3_Giả định'!$D$17</f>
        <v>84021826.742028624</v>
      </c>
      <c r="N32" s="71">
        <f>N31*'3_Giả định'!$D$17</f>
        <v>87528434.163301557</v>
      </c>
      <c r="O32" s="71">
        <f>O31*'3_Giả định'!$D$17</f>
        <v>90950954.870328501</v>
      </c>
      <c r="P32" s="71">
        <f>P31*'3_Giả định'!$D$17</f>
        <v>94333809.644667998</v>
      </c>
      <c r="Q32" s="71">
        <f>Q31*'3_Giả định'!$D$17</f>
        <v>97711533.959348992</v>
      </c>
      <c r="R32" s="71">
        <f>R31*'3_Giả định'!$D$17</f>
        <v>101111175.27464738</v>
      </c>
      <c r="S32" s="71">
        <f>S31*'3_Giả định'!$D$17</f>
        <v>104554115.77717152</v>
      </c>
      <c r="T32" s="71">
        <f>T31*'3_Giả định'!$D$17</f>
        <v>108057458.48127994</v>
      </c>
      <c r="U32" s="71">
        <f>U31*'3_Giả định'!$D$17</f>
        <v>111635081.51210247</v>
      </c>
      <c r="V32" s="71">
        <f>V31*'3_Giả định'!$D$17</f>
        <v>115298440.23365013</v>
      </c>
      <c r="W32" s="71">
        <f>W31*'3_Giả định'!$D$17</f>
        <v>119057177.76712884</v>
      </c>
      <c r="X32" s="71">
        <f>X31*'3_Giả định'!$D$17</f>
        <v>122919589.91463841</v>
      </c>
      <c r="Y32" s="71">
        <f>Y31*'3_Giả định'!$D$17</f>
        <v>126892979.46071753</v>
      </c>
      <c r="Z32" s="71">
        <f>Z31*'3_Giả định'!$D$17</f>
        <v>130983926.43175662</v>
      </c>
    </row>
    <row r="33" spans="1:26" ht="15" customHeight="1" x14ac:dyDescent="0.2">
      <c r="A33" s="42" t="s">
        <v>401</v>
      </c>
      <c r="C33" s="71">
        <f>C31*'3_Giả định'!$D$18</f>
        <v>2645938.7712000003</v>
      </c>
      <c r="D33" s="71">
        <f>D31*'3_Giả định'!$D$18</f>
        <v>4741522.2779904008</v>
      </c>
      <c r="E33" s="71">
        <f>E31*'3_Giả định'!$D$18</f>
        <v>6421545.2251312137</v>
      </c>
      <c r="F33" s="71">
        <f>F31*'3_Giả định'!$D$18</f>
        <v>7788538.2903617043</v>
      </c>
      <c r="G33" s="71">
        <f>G31*'3_Giả định'!$D$18</f>
        <v>8920514.2653532606</v>
      </c>
      <c r="H33" s="71">
        <f>H31*'3_Giả định'!$D$18</f>
        <v>9876855.2116165496</v>
      </c>
      <c r="I33" s="71">
        <f>I31*'3_Giả định'!$D$18</f>
        <v>10702786.790614989</v>
      </c>
      <c r="J33" s="71">
        <f>J31*'3_Giả định'!$D$18</f>
        <v>11432778.849206967</v>
      </c>
      <c r="K33" s="71">
        <f>K31*'3_Giả định'!$D$18</f>
        <v>12093129.962163737</v>
      </c>
      <c r="L33" s="71">
        <f>L31*'3_Giả định'!$D$18</f>
        <v>12703931.785187408</v>
      </c>
      <c r="M33" s="71">
        <f>M31*'3_Giả định'!$D$18</f>
        <v>13280562.067131571</v>
      </c>
      <c r="N33" s="71">
        <f>N31*'3_Giả định'!$D$18</f>
        <v>13834819.446541591</v>
      </c>
      <c r="O33" s="71">
        <f>O31*'3_Giả định'!$D$18</f>
        <v>14375786.007709896</v>
      </c>
      <c r="P33" s="71">
        <f>P31*'3_Giả định'!$D$18</f>
        <v>14910482.937504634</v>
      </c>
      <c r="Q33" s="71">
        <f>Q31*'3_Giả định'!$D$18</f>
        <v>15444368.942441275</v>
      </c>
      <c r="R33" s="71">
        <f>R31*'3_Giả định'!$D$18</f>
        <v>15981719.167311132</v>
      </c>
      <c r="S33" s="71">
        <f>S31*'3_Giả định'!$D$18</f>
        <v>16525913.298886009</v>
      </c>
      <c r="T33" s="71">
        <f>T31*'3_Giả định'!$D$18</f>
        <v>17079654.654298261</v>
      </c>
      <c r="U33" s="71">
        <f>U31*'3_Giả định'!$D$18</f>
        <v>17645136.821920209</v>
      </c>
      <c r="V33" s="71">
        <f>V31*'3_Giả định'!$D$18</f>
        <v>18224170.446421798</v>
      </c>
      <c r="W33" s="71">
        <f>W31*'3_Giả định'!$D$18</f>
        <v>18818279.727819405</v>
      </c>
      <c r="X33" s="71">
        <f>X31*'3_Giả định'!$D$18</f>
        <v>19428775.907714833</v>
      </c>
      <c r="Y33" s="71">
        <f>Y31*'3_Giả định'!$D$18</f>
        <v>20056813.270501662</v>
      </c>
      <c r="Z33" s="71">
        <f>Z31*'3_Giả định'!$D$18</f>
        <v>20703431.860800076</v>
      </c>
    </row>
    <row r="34" spans="1:26" ht="15" customHeight="1" x14ac:dyDescent="0.2">
      <c r="A34" s="42" t="s">
        <v>96</v>
      </c>
      <c r="C34" s="71">
        <f t="shared" ref="C34:Z34" si="8">C32-C33</f>
        <v>14094061.228799999</v>
      </c>
      <c r="D34" s="71">
        <f t="shared" si="8"/>
        <v>25256557.722009599</v>
      </c>
      <c r="E34" s="71">
        <f t="shared" si="8"/>
        <v>34205497.334868789</v>
      </c>
      <c r="F34" s="71">
        <f t="shared" si="8"/>
        <v>41487027.871558301</v>
      </c>
      <c r="G34" s="71">
        <f t="shared" si="8"/>
        <v>47516698.276148185</v>
      </c>
      <c r="H34" s="71">
        <f t="shared" si="8"/>
        <v>52610817.610636935</v>
      </c>
      <c r="I34" s="71">
        <f t="shared" si="8"/>
        <v>57010288.366312847</v>
      </c>
      <c r="J34" s="71">
        <f t="shared" si="8"/>
        <v>60898720.284057871</v>
      </c>
      <c r="K34" s="71">
        <f t="shared" si="8"/>
        <v>64416197.377565198</v>
      </c>
      <c r="L34" s="71">
        <f t="shared" si="8"/>
        <v>67669741.407404572</v>
      </c>
      <c r="M34" s="71">
        <f t="shared" si="8"/>
        <v>70741264.674897045</v>
      </c>
      <c r="N34" s="71">
        <f t="shared" si="8"/>
        <v>73693614.716759965</v>
      </c>
      <c r="O34" s="71">
        <f t="shared" si="8"/>
        <v>76575168.86261861</v>
      </c>
      <c r="P34" s="71">
        <f t="shared" si="8"/>
        <v>79423326.707163364</v>
      </c>
      <c r="Q34" s="71">
        <f t="shared" si="8"/>
        <v>82267165.016907722</v>
      </c>
      <c r="R34" s="71">
        <f t="shared" si="8"/>
        <v>85129456.107336253</v>
      </c>
      <c r="S34" s="71">
        <f t="shared" si="8"/>
        <v>88028202.478285521</v>
      </c>
      <c r="T34" s="71">
        <f t="shared" si="8"/>
        <v>90977803.826981679</v>
      </c>
      <c r="U34" s="71">
        <f t="shared" si="8"/>
        <v>93989944.690182269</v>
      </c>
      <c r="V34" s="71">
        <f t="shared" si="8"/>
        <v>97074269.787228331</v>
      </c>
      <c r="W34" s="71">
        <f t="shared" si="8"/>
        <v>100238898.03930944</v>
      </c>
      <c r="X34" s="71">
        <f t="shared" si="8"/>
        <v>103490814.00692359</v>
      </c>
      <c r="Y34" s="71">
        <f t="shared" si="8"/>
        <v>106836166.19021587</v>
      </c>
      <c r="Z34" s="71">
        <f t="shared" si="8"/>
        <v>110280494.57095654</v>
      </c>
    </row>
    <row r="35" spans="1:26" ht="15" customHeight="1" x14ac:dyDescent="0.2">
      <c r="A35" s="42" t="s">
        <v>402</v>
      </c>
      <c r="C35" s="71">
        <f>C30*'3_Giả định'!$D$10</f>
        <v>157500000</v>
      </c>
      <c r="D35" s="71">
        <f>D30*'3_Giả định'!$D$10</f>
        <v>162540000</v>
      </c>
      <c r="E35" s="71">
        <f>E30*'3_Giả định'!$D$10</f>
        <v>167741280</v>
      </c>
      <c r="F35" s="71">
        <f>F30*'3_Giả định'!$D$10</f>
        <v>173109000.95999998</v>
      </c>
      <c r="G35" s="71">
        <f>G30*'3_Giả định'!$D$10</f>
        <v>178648488.99072</v>
      </c>
      <c r="H35" s="71">
        <f>H30*'3_Giả định'!$D$10</f>
        <v>184365240.63842306</v>
      </c>
      <c r="I35" s="71">
        <f>I30*'3_Giả định'!$D$10</f>
        <v>190264928.33885255</v>
      </c>
      <c r="J35" s="71">
        <f>J30*'3_Giả định'!$D$10</f>
        <v>196353406.04569581</v>
      </c>
      <c r="K35" s="71">
        <f>K30*'3_Giả định'!$D$10</f>
        <v>202636715.03915811</v>
      </c>
      <c r="L35" s="71">
        <f>L30*'3_Giả định'!$D$10</f>
        <v>209121089.9204112</v>
      </c>
      <c r="M35" s="71">
        <f>M30*'3_Giả định'!$D$10</f>
        <v>215812964.79786432</v>
      </c>
      <c r="N35" s="71">
        <f>N30*'3_Giả định'!$D$10</f>
        <v>222718979.67139599</v>
      </c>
      <c r="O35" s="71">
        <f>O30*'3_Giả định'!$D$10</f>
        <v>229845987.02088067</v>
      </c>
      <c r="P35" s="71">
        <f>P30*'3_Giả định'!$D$10</f>
        <v>237201058.60554886</v>
      </c>
      <c r="Q35" s="71">
        <f>Q30*'3_Giả định'!$D$10</f>
        <v>244791492.48092636</v>
      </c>
      <c r="R35" s="71">
        <f>R30*'3_Giả định'!$D$10</f>
        <v>252624820.24031597</v>
      </c>
      <c r="S35" s="71">
        <f>S30*'3_Giả định'!$D$10</f>
        <v>260708814.48800614</v>
      </c>
      <c r="T35" s="71">
        <f>T30*'3_Giả định'!$D$10</f>
        <v>269051496.55162239</v>
      </c>
      <c r="U35" s="71">
        <f>U30*'3_Giả định'!$D$10</f>
        <v>277661144.44127423</v>
      </c>
      <c r="V35" s="71">
        <f>V30*'3_Giả định'!$D$10</f>
        <v>286546301.06339502</v>
      </c>
      <c r="W35" s="71">
        <f>W30*'3_Giả định'!$D$10</f>
        <v>295715782.69742364</v>
      </c>
      <c r="X35" s="71">
        <f>X30*'3_Giả định'!$D$10</f>
        <v>305178687.74374127</v>
      </c>
      <c r="Y35" s="71">
        <f>Y30*'3_Giả định'!$D$10</f>
        <v>314944405.7515409</v>
      </c>
      <c r="Z35" s="71">
        <f>Z30*'3_Giả định'!$D$10</f>
        <v>325022626.73559022</v>
      </c>
    </row>
    <row r="36" spans="1:26" ht="15" customHeight="1" x14ac:dyDescent="0.2">
      <c r="A36" s="42" t="s">
        <v>403</v>
      </c>
      <c r="C36" s="71">
        <f>'3_Giả định'!$D$11</f>
        <v>120000000</v>
      </c>
      <c r="D36" s="71">
        <f>'3_Giả định'!$D$11</f>
        <v>120000000</v>
      </c>
      <c r="E36" s="71">
        <f>'3_Giả định'!$D$11</f>
        <v>120000000</v>
      </c>
      <c r="F36" s="71">
        <f>'3_Giả định'!$D$11</f>
        <v>120000000</v>
      </c>
      <c r="G36" s="71">
        <f>'3_Giả định'!$D$11</f>
        <v>120000000</v>
      </c>
      <c r="H36" s="71">
        <f>'3_Giả định'!$D$11</f>
        <v>120000000</v>
      </c>
      <c r="I36" s="71">
        <f>'3_Giả định'!$D$11</f>
        <v>120000000</v>
      </c>
      <c r="J36" s="71">
        <f>'3_Giả định'!$D$11</f>
        <v>120000000</v>
      </c>
      <c r="K36" s="71">
        <f>'3_Giả định'!$D$11</f>
        <v>120000000</v>
      </c>
      <c r="L36" s="71">
        <f>'3_Giả định'!$D$11</f>
        <v>120000000</v>
      </c>
      <c r="M36" s="71">
        <f>'3_Giả định'!$D$11</f>
        <v>120000000</v>
      </c>
      <c r="N36" s="71">
        <f>'3_Giả định'!$D$11</f>
        <v>120000000</v>
      </c>
      <c r="O36" s="71">
        <f>'3_Giả định'!$D$11</f>
        <v>120000000</v>
      </c>
      <c r="P36" s="71">
        <f>'3_Giả định'!$D$11</f>
        <v>120000000</v>
      </c>
      <c r="Q36" s="71">
        <f>'3_Giả định'!$D$11</f>
        <v>120000000</v>
      </c>
      <c r="R36" s="71">
        <f>'3_Giả định'!$D$11</f>
        <v>120000000</v>
      </c>
      <c r="S36" s="71">
        <f>'3_Giả định'!$D$11</f>
        <v>120000000</v>
      </c>
      <c r="T36" s="71">
        <f>'3_Giả định'!$D$11</f>
        <v>120000000</v>
      </c>
      <c r="U36" s="71">
        <f>'3_Giả định'!$D$11</f>
        <v>120000000</v>
      </c>
      <c r="V36" s="71">
        <f>'3_Giả định'!$D$11</f>
        <v>120000000</v>
      </c>
      <c r="W36" s="71">
        <f>'3_Giả định'!$D$11</f>
        <v>120000000</v>
      </c>
      <c r="X36" s="71">
        <f>'3_Giả định'!$D$11</f>
        <v>120000000</v>
      </c>
      <c r="Y36" s="71">
        <f>'3_Giả định'!$D$11</f>
        <v>120000000</v>
      </c>
      <c r="Z36" s="71">
        <f>'3_Giả định'!$D$11</f>
        <v>120000000</v>
      </c>
    </row>
    <row r="37" spans="1:26" ht="15" customHeight="1" x14ac:dyDescent="0.2">
      <c r="A37" s="42" t="s">
        <v>404</v>
      </c>
      <c r="B37" s="71">
        <f>-'3_Giả định'!$D$12</f>
        <v>-400000000</v>
      </c>
      <c r="C37" s="71">
        <f t="shared" ref="C37:Z37" si="9">C34-C35-C36</f>
        <v>-263405938.7712</v>
      </c>
      <c r="D37" s="71">
        <f t="shared" si="9"/>
        <v>-257283442.2779904</v>
      </c>
      <c r="E37" s="71">
        <f t="shared" si="9"/>
        <v>-253535782.66513121</v>
      </c>
      <c r="F37" s="71">
        <f t="shared" si="9"/>
        <v>-251621973.08844167</v>
      </c>
      <c r="G37" s="71">
        <f t="shared" si="9"/>
        <v>-251131790.71457183</v>
      </c>
      <c r="H37" s="71">
        <f t="shared" si="9"/>
        <v>-251754423.02778614</v>
      </c>
      <c r="I37" s="71">
        <f t="shared" si="9"/>
        <v>-253254639.97253972</v>
      </c>
      <c r="J37" s="71">
        <f t="shared" si="9"/>
        <v>-255454685.76163793</v>
      </c>
      <c r="K37" s="71">
        <f t="shared" si="9"/>
        <v>-258220517.6615929</v>
      </c>
      <c r="L37" s="71">
        <f t="shared" si="9"/>
        <v>-261451348.51300663</v>
      </c>
      <c r="M37" s="71">
        <f t="shared" si="9"/>
        <v>-265071700.12296727</v>
      </c>
      <c r="N37" s="71">
        <f t="shared" si="9"/>
        <v>-269025364.95463604</v>
      </c>
      <c r="O37" s="71">
        <f t="shared" si="9"/>
        <v>-273270818.15826207</v>
      </c>
      <c r="P37" s="71">
        <f t="shared" si="9"/>
        <v>-277777731.89838552</v>
      </c>
      <c r="Q37" s="71">
        <f t="shared" si="9"/>
        <v>-282524327.46401864</v>
      </c>
      <c r="R37" s="71">
        <f t="shared" si="9"/>
        <v>-287495364.13297975</v>
      </c>
      <c r="S37" s="71">
        <f t="shared" si="9"/>
        <v>-292680612.00972062</v>
      </c>
      <c r="T37" s="71">
        <f t="shared" si="9"/>
        <v>-298073692.72464073</v>
      </c>
      <c r="U37" s="71">
        <f t="shared" si="9"/>
        <v>-303671199.75109196</v>
      </c>
      <c r="V37" s="71">
        <f t="shared" si="9"/>
        <v>-309472031.27616668</v>
      </c>
      <c r="W37" s="71">
        <f t="shared" si="9"/>
        <v>-315476884.65811419</v>
      </c>
      <c r="X37" s="71">
        <f t="shared" si="9"/>
        <v>-321687873.73681772</v>
      </c>
      <c r="Y37" s="71">
        <f t="shared" si="9"/>
        <v>-328108239.56132501</v>
      </c>
      <c r="Z37" s="71">
        <f t="shared" si="9"/>
        <v>-334742132.16463369</v>
      </c>
    </row>
    <row r="38" spans="1:26" ht="15" customHeight="1" x14ac:dyDescent="0.2">
      <c r="A38" s="42" t="s">
        <v>405</v>
      </c>
      <c r="B38" s="71">
        <f>'3_Giả định'!$D$13+B37</f>
        <v>1100000000</v>
      </c>
      <c r="C38" s="71">
        <f t="shared" ref="C38:Z38" si="10">B38+C37</f>
        <v>836594061.22880006</v>
      </c>
      <c r="D38" s="71">
        <f t="shared" si="10"/>
        <v>579310618.95080972</v>
      </c>
      <c r="E38" s="71">
        <f t="shared" si="10"/>
        <v>325774836.28567851</v>
      </c>
      <c r="F38" s="71">
        <f t="shared" si="10"/>
        <v>74152863.197236836</v>
      </c>
      <c r="G38" s="71">
        <f t="shared" si="10"/>
        <v>-176978927.517335</v>
      </c>
      <c r="H38" s="71">
        <f t="shared" si="10"/>
        <v>-428733350.54512113</v>
      </c>
      <c r="I38" s="71">
        <f t="shared" si="10"/>
        <v>-681987990.51766086</v>
      </c>
      <c r="J38" s="71">
        <f t="shared" si="10"/>
        <v>-937442676.27929878</v>
      </c>
      <c r="K38" s="71">
        <f t="shared" si="10"/>
        <v>-1195663193.9408917</v>
      </c>
      <c r="L38" s="71">
        <f t="shared" si="10"/>
        <v>-1457114542.4538984</v>
      </c>
      <c r="M38" s="71">
        <f t="shared" si="10"/>
        <v>-1722186242.5768657</v>
      </c>
      <c r="N38" s="71">
        <f t="shared" si="10"/>
        <v>-1991211607.5315018</v>
      </c>
      <c r="O38" s="71">
        <f t="shared" si="10"/>
        <v>-2264482425.689764</v>
      </c>
      <c r="P38" s="71">
        <f t="shared" si="10"/>
        <v>-2542260157.5881495</v>
      </c>
      <c r="Q38" s="71">
        <f t="shared" si="10"/>
        <v>-2824784485.0521684</v>
      </c>
      <c r="R38" s="71">
        <f t="shared" si="10"/>
        <v>-3112279849.1851482</v>
      </c>
      <c r="S38" s="71">
        <f t="shared" si="10"/>
        <v>-3404960461.194869</v>
      </c>
      <c r="T38" s="71">
        <f t="shared" si="10"/>
        <v>-3703034153.9195099</v>
      </c>
      <c r="U38" s="71">
        <f t="shared" si="10"/>
        <v>-4006705353.6706018</v>
      </c>
      <c r="V38" s="71">
        <f t="shared" si="10"/>
        <v>-4316177384.9467688</v>
      </c>
      <c r="W38" s="71">
        <f t="shared" si="10"/>
        <v>-4631654269.6048832</v>
      </c>
      <c r="X38" s="71">
        <f t="shared" si="10"/>
        <v>-4953342143.3417006</v>
      </c>
      <c r="Y38" s="71">
        <f t="shared" si="10"/>
        <v>-5281450382.9030256</v>
      </c>
      <c r="Z38" s="71">
        <f t="shared" si="10"/>
        <v>-5616192515.0676594</v>
      </c>
    </row>
    <row r="39" spans="1:26" ht="15" customHeight="1" x14ac:dyDescent="0.2">
      <c r="A39" s="42" t="s">
        <v>406</v>
      </c>
      <c r="B39" s="71">
        <f>B37</f>
        <v>-400000000</v>
      </c>
      <c r="C39" s="71">
        <f t="shared" ref="C39:Z39" si="11">B39+C37</f>
        <v>-663405938.77119994</v>
      </c>
      <c r="D39" s="71">
        <f t="shared" si="11"/>
        <v>-920689381.04919028</v>
      </c>
      <c r="E39" s="71">
        <f t="shared" si="11"/>
        <v>-1174225163.7143216</v>
      </c>
      <c r="F39" s="71">
        <f t="shared" si="11"/>
        <v>-1425847136.8027632</v>
      </c>
      <c r="G39" s="71">
        <f t="shared" si="11"/>
        <v>-1676978927.5173349</v>
      </c>
      <c r="H39" s="71">
        <f t="shared" si="11"/>
        <v>-1928733350.5451212</v>
      </c>
      <c r="I39" s="71">
        <f t="shared" si="11"/>
        <v>-2181987990.5176611</v>
      </c>
      <c r="J39" s="71">
        <f t="shared" si="11"/>
        <v>-2437442676.2792988</v>
      </c>
      <c r="K39" s="71">
        <f t="shared" si="11"/>
        <v>-2695663193.9408917</v>
      </c>
      <c r="L39" s="71">
        <f t="shared" si="11"/>
        <v>-2957114542.4538984</v>
      </c>
      <c r="M39" s="71">
        <f t="shared" si="11"/>
        <v>-3222186242.5768657</v>
      </c>
      <c r="N39" s="71">
        <f t="shared" si="11"/>
        <v>-3491211607.5315018</v>
      </c>
      <c r="O39" s="71">
        <f t="shared" si="11"/>
        <v>-3764482425.689764</v>
      </c>
      <c r="P39" s="71">
        <f t="shared" si="11"/>
        <v>-4042260157.5881495</v>
      </c>
      <c r="Q39" s="71">
        <f t="shared" si="11"/>
        <v>-4324784485.0521679</v>
      </c>
      <c r="R39" s="71">
        <f t="shared" si="11"/>
        <v>-4612279849.1851473</v>
      </c>
      <c r="S39" s="71">
        <f t="shared" si="11"/>
        <v>-4904960461.1948681</v>
      </c>
      <c r="T39" s="71">
        <f t="shared" si="11"/>
        <v>-5203034153.9195089</v>
      </c>
      <c r="U39" s="71">
        <f t="shared" si="11"/>
        <v>-5506705353.6706009</v>
      </c>
      <c r="V39" s="71">
        <f t="shared" si="11"/>
        <v>-5816177384.9467678</v>
      </c>
      <c r="W39" s="71">
        <f t="shared" si="11"/>
        <v>-6131654269.6048822</v>
      </c>
      <c r="X39" s="71">
        <f t="shared" si="11"/>
        <v>-6453342143.3416996</v>
      </c>
      <c r="Y39" s="71">
        <f t="shared" si="11"/>
        <v>-6781450382.9030247</v>
      </c>
      <c r="Z39" s="71">
        <f t="shared" si="11"/>
        <v>-7116192515.0676584</v>
      </c>
    </row>
    <row r="42" spans="1:26" ht="15" customHeight="1" x14ac:dyDescent="0.2">
      <c r="A42" s="72" t="s">
        <v>409</v>
      </c>
    </row>
    <row r="43" spans="1:26" ht="26.25" customHeight="1" x14ac:dyDescent="0.2">
      <c r="A43" s="13" t="s">
        <v>358</v>
      </c>
      <c r="B43" s="13" t="s">
        <v>312</v>
      </c>
      <c r="C43" s="13" t="s">
        <v>313</v>
      </c>
      <c r="D43" s="13" t="s">
        <v>314</v>
      </c>
      <c r="E43" s="13" t="s">
        <v>359</v>
      </c>
    </row>
    <row r="44" spans="1:26" ht="31.5" customHeight="1" x14ac:dyDescent="0.2">
      <c r="A44" s="10" t="s">
        <v>410</v>
      </c>
      <c r="B44" s="43">
        <f>B13+NPV('3_Giả định'!$B$14/12,C13:Z13)</f>
        <v>1981126390.5002384</v>
      </c>
      <c r="C44" s="43">
        <f>B25+NPV('3_Giả định'!$C$14/12,C25:Z25)</f>
        <v>-5591201777.4505329</v>
      </c>
      <c r="D44" s="43">
        <f>B37+NPV('3_Giả định'!$D$14/12,C37:Z37)</f>
        <v>-6128196562.0054474</v>
      </c>
      <c r="E44" t="s">
        <v>411</v>
      </c>
    </row>
    <row r="45" spans="1:26" ht="15" customHeight="1" x14ac:dyDescent="0.2">
      <c r="A45" s="42" t="s">
        <v>412</v>
      </c>
      <c r="B45" s="45">
        <f>IFERROR((1+IRR(B13:Z13,0.01))^12-1,"Không tính được")</f>
        <v>0.912342833110797</v>
      </c>
      <c r="C45" s="45" t="str">
        <f>IFERROR((1+IRR(B25:Z25,0.01))^12-1,"Không tính được")</f>
        <v>Không tính được</v>
      </c>
      <c r="D45" s="45" t="str">
        <f>IFERROR((1+IRR(B37:Z37,0.01))^12-1,"Không tính được")</f>
        <v>Không tính được</v>
      </c>
      <c r="E45" t="s">
        <v>413</v>
      </c>
      <c r="F45" s="46" t="s">
        <v>414</v>
      </c>
    </row>
    <row r="46" spans="1:26" ht="15" customHeight="1" x14ac:dyDescent="0.2">
      <c r="A46" s="42" t="s">
        <v>415</v>
      </c>
      <c r="B46" s="43">
        <f>MIN(B14:Z14)</f>
        <v>-470952092.21191132</v>
      </c>
      <c r="C46" s="43">
        <f>MIN(B26:Z26)</f>
        <v>-4966748318.4521332</v>
      </c>
      <c r="D46" s="43">
        <f>MIN(B38:Z38)</f>
        <v>-5616192515.0676594</v>
      </c>
      <c r="E46" t="s">
        <v>411</v>
      </c>
    </row>
    <row r="47" spans="1:26" ht="15" customHeight="1" x14ac:dyDescent="0.2">
      <c r="A47" s="42" t="s">
        <v>416</v>
      </c>
      <c r="B47" s="73">
        <f>IF('3_Giả định'!B7=0,"Chưa điền",IFERROR(MATCH(TRUE(),INDEX(C14:Z14&lt;0,0),0),"Không hết tiền trong 24 tháng"))</f>
        <v>5</v>
      </c>
      <c r="C47" s="73">
        <f>IF('3_Giả định'!C7=0,"Chưa điền",IFERROR(MATCH(TRUE(),INDEX(C26:Z26&lt;0,0),0),"Không hết tiền trong 24 tháng"))</f>
        <v>5</v>
      </c>
      <c r="D47" s="73">
        <f>IF('3_Giả định'!D7=0,"Chưa điền",IFERROR(MATCH(TRUE(),INDEX(C38:Z38&lt;0,0),0),"Không hết tiền trong 24 tháng"))</f>
        <v>5</v>
      </c>
      <c r="E47" t="s">
        <v>417</v>
      </c>
      <c r="F47" s="46" t="s">
        <v>418</v>
      </c>
    </row>
    <row r="48" spans="1:26" ht="15" customHeight="1" x14ac:dyDescent="0.2">
      <c r="A48" s="42" t="s">
        <v>419</v>
      </c>
      <c r="B48" s="73">
        <f>IF('3_Giả định'!B7=0,"Chưa điền",IFERROR(MATCH(TRUE(),INDEX(C15:Z15&gt;=0,0),0),"Chưa hoàn vốn trong 24 tháng"))</f>
        <v>20</v>
      </c>
      <c r="C48" s="73" t="str">
        <f>IF('3_Giả định'!C7=0,"Chưa điền",IFERROR(MATCH(TRUE(),INDEX(C27:Z27&gt;=0,0),0),"Chưa hoàn vốn trong 24 tháng"))</f>
        <v>Chưa hoàn vốn trong 24 tháng</v>
      </c>
      <c r="D48" s="73" t="str">
        <f>IF('3_Giả định'!D7=0,"Chưa điền",IFERROR(MATCH(TRUE(),INDEX(C39:Z39&gt;=0,0),0),"Chưa hoàn vốn trong 24 tháng"))</f>
        <v>Chưa hoàn vốn trong 24 tháng</v>
      </c>
      <c r="E48" t="s">
        <v>420</v>
      </c>
    </row>
    <row r="49" spans="1:8" ht="15" customHeight="1" x14ac:dyDescent="0.2">
      <c r="A49" s="42" t="s">
        <v>421</v>
      </c>
      <c r="B49" s="53">
        <f>Z7</f>
        <v>32026.615845453343</v>
      </c>
      <c r="C49" s="53">
        <f>Z19</f>
        <v>8244.7148083916436</v>
      </c>
      <c r="D49" s="53">
        <f>Z31</f>
        <v>1173.691097058751</v>
      </c>
    </row>
    <row r="50" spans="1:8" ht="15" customHeight="1" x14ac:dyDescent="0.2">
      <c r="A50" s="42" t="s">
        <v>422</v>
      </c>
      <c r="B50" s="43">
        <f>Z8</f>
        <v>4914484201.4848156</v>
      </c>
      <c r="C50" s="43">
        <f>Z20</f>
        <v>1150137715.7706342</v>
      </c>
      <c r="D50" s="43">
        <f>Z32</f>
        <v>130983926.43175662</v>
      </c>
    </row>
    <row r="53" spans="1:8" ht="15" customHeight="1" x14ac:dyDescent="0.2">
      <c r="A53" s="72" t="s">
        <v>423</v>
      </c>
    </row>
    <row r="54" spans="1:8" ht="15" customHeight="1" x14ac:dyDescent="0.2">
      <c r="A54" s="74" t="s">
        <v>424</v>
      </c>
      <c r="B54" s="75">
        <v>0.2</v>
      </c>
      <c r="C54" s="46" t="s">
        <v>425</v>
      </c>
    </row>
    <row r="56" spans="1:8" ht="45" customHeight="1" x14ac:dyDescent="0.2">
      <c r="A56" s="76" t="s">
        <v>426</v>
      </c>
      <c r="B56" s="77" t="s">
        <v>427</v>
      </c>
      <c r="C56" s="77" t="s">
        <v>428</v>
      </c>
      <c r="D56" s="77" t="s">
        <v>429</v>
      </c>
      <c r="E56" s="77" t="s">
        <v>430</v>
      </c>
      <c r="F56" s="77" t="s">
        <v>416</v>
      </c>
      <c r="G56" s="77" t="s">
        <v>431</v>
      </c>
      <c r="H56" s="77" t="s">
        <v>432</v>
      </c>
    </row>
    <row r="57" spans="1:8" ht="27.75" customHeight="1" x14ac:dyDescent="0.2">
      <c r="A57" s="4" t="s">
        <v>433</v>
      </c>
      <c r="B57" s="78" t="s">
        <v>434</v>
      </c>
      <c r="C57" s="78" t="s">
        <v>434</v>
      </c>
      <c r="D57" s="79">
        <f>(B94+NPV($K$80/12,C94:Z94))/1000000</f>
        <v>-5591.2017774505348</v>
      </c>
      <c r="E57" s="78" t="s">
        <v>434</v>
      </c>
      <c r="F57" s="80">
        <f>IFERROR(MATCH(TRUE(),INDEX(C95:Z95&lt;0,0),0),"Không hết tiền trong 24 tháng")</f>
        <v>5</v>
      </c>
      <c r="G57" s="80" t="str">
        <f>IFERROR(MATCH(TRUE(),INDEX(C96:Z96&gt;=0,0),0),"Chưa hoàn vốn trong 24 tháng")</f>
        <v>Chưa hoàn vốn trong 24 tháng</v>
      </c>
    </row>
    <row r="58" spans="1:8" ht="27.75" customHeight="1" x14ac:dyDescent="0.2">
      <c r="A58" s="74" t="s">
        <v>435</v>
      </c>
      <c r="B58" s="79">
        <f>'3_Giả định'!$C$17</f>
        <v>139500</v>
      </c>
      <c r="C58" s="79">
        <f>B81</f>
        <v>111600</v>
      </c>
      <c r="D58" s="79">
        <f>(B100+NPV($K$81/12,C100:Z100))/1000000</f>
        <v>-7561.8007897970483</v>
      </c>
      <c r="E58" s="79">
        <f t="shared" ref="E58:E64" si="12">D58-$D$57</f>
        <v>-1970.5990123465135</v>
      </c>
      <c r="F58" s="80">
        <f>IFERROR(MATCH(TRUE(),INDEX(C101:Z101&lt;0,0),0),"Không hết tiền trong 24 tháng")</f>
        <v>4</v>
      </c>
      <c r="G58" s="80" t="str">
        <f>IFERROR(MATCH(TRUE(),INDEX(C102:Z102&gt;=0,0),0),"Chưa hoàn vốn trong 24 tháng")</f>
        <v>Chưa hoàn vốn trong 24 tháng</v>
      </c>
      <c r="H58" s="81">
        <f t="shared" ref="H58:H64" si="13">RANK(D58,$D$58:$D$64,1)</f>
        <v>2</v>
      </c>
    </row>
    <row r="59" spans="1:8" ht="27.75" customHeight="1" x14ac:dyDescent="0.2">
      <c r="A59" s="74" t="s">
        <v>436</v>
      </c>
      <c r="B59" s="79">
        <f>'3_Giả định'!$C$18</f>
        <v>14699.65984</v>
      </c>
      <c r="C59" s="79">
        <f>C82</f>
        <v>17639.591808000001</v>
      </c>
      <c r="D59" s="79">
        <f>(B106+NPV($K$82/12,C106:Z106))/1000000</f>
        <v>-5798.851491877298</v>
      </c>
      <c r="E59" s="79">
        <f t="shared" si="12"/>
        <v>-207.64971442676324</v>
      </c>
      <c r="F59" s="80">
        <f>IFERROR(MATCH(TRUE(),INDEX(C107:Z107&lt;0,0),0),"Không hết tiền trong 24 tháng")</f>
        <v>5</v>
      </c>
      <c r="G59" s="80" t="str">
        <f>IFERROR(MATCH(TRUE(),INDEX(C108:Z108&gt;=0,0),0),"Chưa hoàn vốn trong 24 tháng")</f>
        <v>Chưa hoàn vốn trong 24 tháng</v>
      </c>
      <c r="H59" s="81">
        <f t="shared" si="13"/>
        <v>5</v>
      </c>
    </row>
    <row r="60" spans="1:8" ht="27.75" customHeight="1" x14ac:dyDescent="0.2">
      <c r="A60" s="74" t="s">
        <v>437</v>
      </c>
      <c r="B60" s="82">
        <f>'3_Giả định'!$C$9</f>
        <v>0.15</v>
      </c>
      <c r="C60" s="82">
        <f>F83</f>
        <v>0.18</v>
      </c>
      <c r="D60" s="79">
        <f>(B112+NPV($K$83/12,C112:Z112))/1000000</f>
        <v>-6475.8817551299153</v>
      </c>
      <c r="E60" s="79">
        <f t="shared" si="12"/>
        <v>-884.6799776793805</v>
      </c>
      <c r="F60" s="80">
        <f>IFERROR(MATCH(TRUE(),INDEX(C113:Z113&lt;0,0),0),"Không hết tiền trong 24 tháng")</f>
        <v>5</v>
      </c>
      <c r="G60" s="80" t="str">
        <f>IFERROR(MATCH(TRUE(),INDEX(C114:Z114&gt;=0,0),0),"Chưa hoàn vốn trong 24 tháng")</f>
        <v>Chưa hoàn vốn trong 24 tháng</v>
      </c>
      <c r="H60" s="81">
        <f t="shared" si="13"/>
        <v>3</v>
      </c>
    </row>
    <row r="61" spans="1:8" ht="27.75" customHeight="1" x14ac:dyDescent="0.2">
      <c r="A61" s="74" t="s">
        <v>438</v>
      </c>
      <c r="B61" s="79">
        <f>'3_Giả định'!$C$10</f>
        <v>700000</v>
      </c>
      <c r="C61" s="79">
        <f>G84</f>
        <v>840000</v>
      </c>
      <c r="D61" s="79">
        <f>(B118+NPV($K$84/12,C118:Z118))/1000000</f>
        <v>-7897.4098025828453</v>
      </c>
      <c r="E61" s="79">
        <f t="shared" si="12"/>
        <v>-2306.2080251323105</v>
      </c>
      <c r="F61" s="80">
        <f>IFERROR(MATCH(TRUE(),INDEX(C119:Z119&lt;0,0),0),"Không hết tiền trong 24 tháng")</f>
        <v>4</v>
      </c>
      <c r="G61" s="80" t="str">
        <f>IFERROR(MATCH(TRUE(),INDEX(C120:Z120&gt;=0,0),0),"Chưa hoàn vốn trong 24 tháng")</f>
        <v>Chưa hoàn vốn trong 24 tháng</v>
      </c>
      <c r="H61" s="81">
        <f t="shared" si="13"/>
        <v>1</v>
      </c>
    </row>
    <row r="62" spans="1:8" ht="27.75" customHeight="1" x14ac:dyDescent="0.2">
      <c r="A62" s="74" t="s">
        <v>439</v>
      </c>
      <c r="B62" s="83">
        <f>'3_Giả định'!$C$7</f>
        <v>300</v>
      </c>
      <c r="C62" s="83">
        <f>D85</f>
        <v>240</v>
      </c>
      <c r="D62" s="79">
        <f>(B124+NPV($K$85/12,C124:Z124))/1000000</f>
        <v>-5047.9430502379691</v>
      </c>
      <c r="E62" s="79">
        <f t="shared" si="12"/>
        <v>543.25872721256565</v>
      </c>
      <c r="F62" s="80">
        <f>IFERROR(MATCH(TRUE(),INDEX(C125:Z125&lt;0,0),0),"Không hết tiền trong 24 tháng")</f>
        <v>5</v>
      </c>
      <c r="G62" s="80" t="str">
        <f>IFERROR(MATCH(TRUE(),INDEX(C126:Z126&gt;=0,0),0),"Chưa hoàn vốn trong 24 tháng")</f>
        <v>Chưa hoàn vốn trong 24 tháng</v>
      </c>
      <c r="H62" s="81">
        <f t="shared" si="13"/>
        <v>6</v>
      </c>
    </row>
    <row r="63" spans="1:8" ht="27.75" customHeight="1" x14ac:dyDescent="0.2">
      <c r="A63" s="74" t="s">
        <v>440</v>
      </c>
      <c r="B63" s="82">
        <f>'3_Giả định'!$C$8</f>
        <v>0.08</v>
      </c>
      <c r="C63" s="82">
        <f>E86</f>
        <v>6.4000000000000001E-2</v>
      </c>
      <c r="D63" s="79">
        <f>(B130+NPV($K$86/12,C130:Z130))/1000000</f>
        <v>-4836.5157867764538</v>
      </c>
      <c r="E63" s="79">
        <f t="shared" si="12"/>
        <v>754.68599067408104</v>
      </c>
      <c r="F63" s="80">
        <f>IFERROR(MATCH(TRUE(),INDEX(C131:Z131&lt;0,0),0),"Không hết tiền trong 24 tháng")</f>
        <v>5</v>
      </c>
      <c r="G63" s="80" t="str">
        <f>IFERROR(MATCH(TRUE(),INDEX(C132:Z132&gt;=0,0),0),"Chưa hoàn vốn trong 24 tháng")</f>
        <v>Chưa hoàn vốn trong 24 tháng</v>
      </c>
      <c r="H63" s="81">
        <f t="shared" si="13"/>
        <v>7</v>
      </c>
    </row>
    <row r="64" spans="1:8" ht="27.75" customHeight="1" x14ac:dyDescent="0.2">
      <c r="A64" s="74" t="s">
        <v>441</v>
      </c>
      <c r="B64" s="79">
        <f>'3_Giả định'!$C$11</f>
        <v>120000000</v>
      </c>
      <c r="C64" s="79">
        <f>H87</f>
        <v>144000000</v>
      </c>
      <c r="D64" s="79">
        <f>(B136+NPV($K$87/12,C136:Z136))/1000000</f>
        <v>-6086.1834057280767</v>
      </c>
      <c r="E64" s="79">
        <f t="shared" si="12"/>
        <v>-494.98162827754186</v>
      </c>
      <c r="F64" s="80">
        <f>IFERROR(MATCH(TRUE(),INDEX(C137:Z137&lt;0,0),0),"Không hết tiền trong 24 tháng")</f>
        <v>4</v>
      </c>
      <c r="G64" s="80" t="str">
        <f>IFERROR(MATCH(TRUE(),INDEX(C138:Z138&gt;=0,0),0),"Chưa hoàn vốn trong 24 tháng")</f>
        <v>Chưa hoàn vốn trong 24 tháng</v>
      </c>
      <c r="H64" s="81">
        <f t="shared" si="13"/>
        <v>4</v>
      </c>
    </row>
    <row r="66" spans="1:11" ht="15" customHeight="1" x14ac:dyDescent="0.2">
      <c r="A66" s="4" t="s">
        <v>442</v>
      </c>
      <c r="B66" s="84" t="str">
        <f>IF(MAX(D58:D64)-MIN(D58:D64)&lt;0.5,"Chưa đủ số liệu",INDEX(A58:A64,MATCH(MIN(D58:D64),D58:D64,0)))</f>
        <v>Chi phí có một khách tăng</v>
      </c>
    </row>
    <row r="68" spans="1:11" ht="31.5" customHeight="1" x14ac:dyDescent="0.2">
      <c r="A68" s="85" t="s">
        <v>443</v>
      </c>
      <c r="B68" s="78" t="s">
        <v>434</v>
      </c>
      <c r="C68" s="78" t="s">
        <v>434</v>
      </c>
      <c r="D68" s="79">
        <f>(B142+NPV($K$88/12,C142:Z142))/1000000</f>
        <v>-7855.308061758612</v>
      </c>
      <c r="E68" s="79">
        <f>D68-$D$57</f>
        <v>-2264.1062843080772</v>
      </c>
      <c r="F68" s="80">
        <f>IFERROR(MATCH(TRUE(),INDEX(C143:Z143&lt;0,0),0),"Không hết tiền trong 24 tháng")</f>
        <v>4</v>
      </c>
      <c r="G68" s="80" t="str">
        <f>IFERROR(MATCH(TRUE(),INDEX(C144:Z144&gt;=0,0),0),"Chưa hoàn vốn trong 24 tháng")</f>
        <v>Chưa hoàn vốn trong 24 tháng</v>
      </c>
    </row>
    <row r="69" spans="1:11" ht="15" customHeight="1" x14ac:dyDescent="0.2">
      <c r="A69" s="46" t="s">
        <v>444</v>
      </c>
    </row>
    <row r="70" spans="1:11" ht="15" customHeight="1" x14ac:dyDescent="0.2">
      <c r="A70" s="72" t="s">
        <v>445</v>
      </c>
    </row>
    <row r="71" spans="1:11" ht="45" customHeight="1" x14ac:dyDescent="0.2">
      <c r="A71" s="13" t="s">
        <v>358</v>
      </c>
      <c r="B71" s="13" t="s">
        <v>446</v>
      </c>
      <c r="C71" s="13" t="s">
        <v>447</v>
      </c>
      <c r="D71" s="50" t="s">
        <v>448</v>
      </c>
      <c r="E71" s="112" t="s">
        <v>449</v>
      </c>
      <c r="F71" s="102"/>
      <c r="G71" s="102"/>
      <c r="H71" s="102"/>
    </row>
    <row r="72" spans="1:11" ht="15" customHeight="1" x14ac:dyDescent="0.2">
      <c r="A72" s="20" t="s">
        <v>450</v>
      </c>
      <c r="B72" s="22">
        <f>'3_Giả định'!C17</f>
        <v>139500</v>
      </c>
      <c r="C72" s="24">
        <f>IFERROR(B72*(1-$B$54*$D$57/($D$57-$D$58)),"")</f>
        <v>218660.97014842086</v>
      </c>
      <c r="D72" s="26">
        <f>IFERROR(C72/B72-1,"")</f>
        <v>0.5674621516015832</v>
      </c>
      <c r="E72" s="108" t="s">
        <v>451</v>
      </c>
      <c r="F72" s="109"/>
      <c r="G72" s="109"/>
      <c r="H72" s="110"/>
    </row>
    <row r="73" spans="1:11" ht="15" customHeight="1" x14ac:dyDescent="0.2">
      <c r="A73" s="20" t="s">
        <v>104</v>
      </c>
      <c r="B73" s="86">
        <f>'4_Chỉ số mỗi khách'!C7</f>
        <v>0.89462609433691753</v>
      </c>
      <c r="C73" s="59">
        <f>IFERROR(1-('3_Giả định'!C18*(1+$B$54*$D$57/($D$57-$D$59)))/'3_Giả định'!C17,"")</f>
        <v>1.4620882459385052</v>
      </c>
      <c r="D73" s="86">
        <f>IFERROR(C73-B73,"")</f>
        <v>0.56746215160158764</v>
      </c>
      <c r="E73" s="108" t="s">
        <v>452</v>
      </c>
      <c r="F73" s="109"/>
      <c r="G73" s="109"/>
      <c r="H73" s="110"/>
    </row>
    <row r="74" spans="1:11" ht="15" customHeight="1" x14ac:dyDescent="0.2">
      <c r="A74" s="20" t="s">
        <v>453</v>
      </c>
      <c r="B74" s="22">
        <f>'3_Giả định'!C10</f>
        <v>700000</v>
      </c>
      <c r="C74" s="24">
        <f>IFERROR(B74*(1+$B$54*$D$57/($D$57-$D$61)),"")</f>
        <v>360582.11561458488</v>
      </c>
      <c r="D74" s="26">
        <f>IFERROR(C74/B74-1,"")</f>
        <v>-0.48488269197916445</v>
      </c>
      <c r="E74" s="111" t="str">
        <f>IFERROR("Trên mức này là 'nguy'. Tương ứng LTV ÷ CAC = "&amp;ROUND('4_Chỉ số mỗi khách'!C9/C74,1)&amp;", không phải 3","")</f>
        <v>Trên mức này là 'nguy'. Tương ứng LTV ÷ CAC = 2,3, không phải 3</v>
      </c>
      <c r="F74" s="109"/>
      <c r="G74" s="109"/>
      <c r="H74" s="110"/>
    </row>
    <row r="75" spans="1:11" ht="15" customHeight="1" x14ac:dyDescent="0.2">
      <c r="A75" s="20" t="s">
        <v>454</v>
      </c>
      <c r="B75" s="87">
        <f>'3_Giả định'!C7</f>
        <v>300</v>
      </c>
      <c r="C75" s="88">
        <f>IFERROR(B75*(1-$B$54*$D$57/($D$57-$D$62)),"")</f>
        <v>-317.51811769011664</v>
      </c>
      <c r="D75" s="26">
        <f>IFERROR(C75/B75-1,"")</f>
        <v>-2.0583937256337221</v>
      </c>
      <c r="E75" s="108" t="s">
        <v>455</v>
      </c>
      <c r="F75" s="109"/>
      <c r="G75" s="109"/>
      <c r="H75" s="110"/>
    </row>
    <row r="76" spans="1:11" ht="15" customHeight="1" x14ac:dyDescent="0.2">
      <c r="A76" s="20" t="s">
        <v>456</v>
      </c>
      <c r="B76" s="22">
        <f>'3_Giả định'!C11</f>
        <v>120000000</v>
      </c>
      <c r="C76" s="24">
        <f>IFERROR(B76*(1+$B$54*$D$57/($D$57-$D$64)),"")</f>
        <v>-151098632.74273208</v>
      </c>
      <c r="D76" s="26">
        <f>IFERROR(C76/B76-1,"")</f>
        <v>-2.2591552728561006</v>
      </c>
      <c r="E76" s="108" t="s">
        <v>457</v>
      </c>
      <c r="F76" s="109"/>
      <c r="G76" s="109"/>
      <c r="H76" s="110"/>
    </row>
    <row r="77" spans="1:11" ht="15" customHeight="1" x14ac:dyDescent="0.2">
      <c r="A77" s="20" t="s">
        <v>458</v>
      </c>
      <c r="B77" s="86">
        <f>'2_Định giá'!B27</f>
        <v>0</v>
      </c>
      <c r="C77" s="59">
        <f>IFERROR(1-C72/('2_Định giá'!D17*'3_Giả định'!C5),"")</f>
        <v>-0.5674621516015832</v>
      </c>
      <c r="D77" s="86">
        <f>IFERROR(C77-B77,"")</f>
        <v>-0.5674621516015832</v>
      </c>
      <c r="E77" s="108" t="s">
        <v>459</v>
      </c>
      <c r="F77" s="109"/>
      <c r="G77" s="109"/>
      <c r="H77" s="110"/>
    </row>
    <row r="78" spans="1:11" ht="15" customHeight="1" x14ac:dyDescent="0.2">
      <c r="A78" s="89" t="s">
        <v>460</v>
      </c>
    </row>
    <row r="79" spans="1:11" ht="15" hidden="1" customHeight="1" outlineLevel="1" x14ac:dyDescent="0.2">
      <c r="A79" s="89" t="s">
        <v>461</v>
      </c>
      <c r="B79" s="89" t="s">
        <v>462</v>
      </c>
      <c r="C79" s="89" t="s">
        <v>463</v>
      </c>
      <c r="D79" s="89" t="s">
        <v>464</v>
      </c>
      <c r="E79" s="89" t="s">
        <v>465</v>
      </c>
      <c r="F79" s="89" t="s">
        <v>466</v>
      </c>
      <c r="G79" s="89" t="s">
        <v>467</v>
      </c>
      <c r="H79" s="89" t="s">
        <v>403</v>
      </c>
      <c r="I79" s="89" t="s">
        <v>468</v>
      </c>
      <c r="J79" s="89" t="s">
        <v>469</v>
      </c>
      <c r="K79" s="89" t="s">
        <v>470</v>
      </c>
    </row>
    <row r="80" spans="1:11" ht="15" hidden="1" customHeight="1" outlineLevel="1" x14ac:dyDescent="0.2">
      <c r="A80" s="89" t="s">
        <v>471</v>
      </c>
      <c r="B80" s="90">
        <f>'3_Giả định'!$C$17</f>
        <v>139500</v>
      </c>
      <c r="C80" s="90">
        <f>'3_Giả định'!$C$18</f>
        <v>14699.65984</v>
      </c>
      <c r="D80" s="91">
        <f>'3_Giả định'!$C$7</f>
        <v>300</v>
      </c>
      <c r="E80" s="92">
        <f>'3_Giả định'!$C$8</f>
        <v>0.08</v>
      </c>
      <c r="F80" s="92">
        <f>'3_Giả định'!$C$9</f>
        <v>0.15</v>
      </c>
      <c r="G80" s="90">
        <f>'3_Giả định'!$C$10</f>
        <v>700000</v>
      </c>
      <c r="H80" s="90">
        <f>'3_Giả định'!$C$11</f>
        <v>120000000</v>
      </c>
      <c r="I80" s="90">
        <f>'3_Giả định'!$C$12</f>
        <v>400000000</v>
      </c>
      <c r="J80" s="90">
        <f>'3_Giả định'!$C$13</f>
        <v>1500000000</v>
      </c>
      <c r="K80" s="92">
        <f>'3_Giả định'!$C$14</f>
        <v>0.15</v>
      </c>
    </row>
    <row r="81" spans="1:26" ht="15" hidden="1" customHeight="1" outlineLevel="1" x14ac:dyDescent="0.2">
      <c r="A81" s="89" t="s">
        <v>472</v>
      </c>
      <c r="B81" s="90">
        <f>'3_Giả định'!$C$17*(1-$B$54)</f>
        <v>111600</v>
      </c>
      <c r="C81" s="90">
        <f>'3_Giả định'!$C$18</f>
        <v>14699.65984</v>
      </c>
      <c r="D81" s="91">
        <f>'3_Giả định'!$C$7</f>
        <v>300</v>
      </c>
      <c r="E81" s="92">
        <f>'3_Giả định'!$C$8</f>
        <v>0.08</v>
      </c>
      <c r="F81" s="92">
        <f>'3_Giả định'!$C$9</f>
        <v>0.15</v>
      </c>
      <c r="G81" s="90">
        <f>'3_Giả định'!$C$10</f>
        <v>700000</v>
      </c>
      <c r="H81" s="90">
        <f>'3_Giả định'!$C$11</f>
        <v>120000000</v>
      </c>
      <c r="I81" s="90">
        <f>'3_Giả định'!$C$12</f>
        <v>400000000</v>
      </c>
      <c r="J81" s="90">
        <f>'3_Giả định'!$C$13</f>
        <v>1500000000</v>
      </c>
      <c r="K81" s="92">
        <f>'3_Giả định'!$C$14</f>
        <v>0.15</v>
      </c>
    </row>
    <row r="82" spans="1:26" ht="15" hidden="1" customHeight="1" outlineLevel="1" x14ac:dyDescent="0.2">
      <c r="A82" s="89" t="s">
        <v>473</v>
      </c>
      <c r="B82" s="90">
        <f>'3_Giả định'!$C$17</f>
        <v>139500</v>
      </c>
      <c r="C82" s="90">
        <f>'3_Giả định'!$C$18*(1+$B$54)</f>
        <v>17639.591808000001</v>
      </c>
      <c r="D82" s="91">
        <f>'3_Giả định'!$C$7</f>
        <v>300</v>
      </c>
      <c r="E82" s="92">
        <f>'3_Giả định'!$C$8</f>
        <v>0.08</v>
      </c>
      <c r="F82" s="92">
        <f>'3_Giả định'!$C$9</f>
        <v>0.15</v>
      </c>
      <c r="G82" s="90">
        <f>'3_Giả định'!$C$10</f>
        <v>700000</v>
      </c>
      <c r="H82" s="90">
        <f>'3_Giả định'!$C$11</f>
        <v>120000000</v>
      </c>
      <c r="I82" s="90">
        <f>'3_Giả định'!$C$12</f>
        <v>400000000</v>
      </c>
      <c r="J82" s="90">
        <f>'3_Giả định'!$C$13</f>
        <v>1500000000</v>
      </c>
      <c r="K82" s="92">
        <f>'3_Giả định'!$C$14</f>
        <v>0.15</v>
      </c>
    </row>
    <row r="83" spans="1:26" ht="15" hidden="1" customHeight="1" outlineLevel="1" x14ac:dyDescent="0.2">
      <c r="A83" s="89" t="s">
        <v>474</v>
      </c>
      <c r="B83" s="90">
        <f>'3_Giả định'!$C$17</f>
        <v>139500</v>
      </c>
      <c r="C83" s="90">
        <f>'3_Giả định'!$C$18</f>
        <v>14699.65984</v>
      </c>
      <c r="D83" s="91">
        <f>'3_Giả định'!$C$7</f>
        <v>300</v>
      </c>
      <c r="E83" s="92">
        <f>'3_Giả định'!$C$8</f>
        <v>0.08</v>
      </c>
      <c r="F83" s="92">
        <f>'3_Giả định'!$C$9*(1+$B$54)</f>
        <v>0.18</v>
      </c>
      <c r="G83" s="90">
        <f>'3_Giả định'!$C$10</f>
        <v>700000</v>
      </c>
      <c r="H83" s="90">
        <f>'3_Giả định'!$C$11</f>
        <v>120000000</v>
      </c>
      <c r="I83" s="90">
        <f>'3_Giả định'!$C$12</f>
        <v>400000000</v>
      </c>
      <c r="J83" s="90">
        <f>'3_Giả định'!$C$13</f>
        <v>1500000000</v>
      </c>
      <c r="K83" s="92">
        <f>'3_Giả định'!$C$14</f>
        <v>0.15</v>
      </c>
    </row>
    <row r="84" spans="1:26" ht="15" hidden="1" customHeight="1" outlineLevel="1" x14ac:dyDescent="0.2">
      <c r="A84" s="89" t="s">
        <v>475</v>
      </c>
      <c r="B84" s="90">
        <f>'3_Giả định'!$C$17</f>
        <v>139500</v>
      </c>
      <c r="C84" s="90">
        <f>'3_Giả định'!$C$18</f>
        <v>14699.65984</v>
      </c>
      <c r="D84" s="91">
        <f>'3_Giả định'!$C$7</f>
        <v>300</v>
      </c>
      <c r="E84" s="92">
        <f>'3_Giả định'!$C$8</f>
        <v>0.08</v>
      </c>
      <c r="F84" s="92">
        <f>'3_Giả định'!$C$9</f>
        <v>0.15</v>
      </c>
      <c r="G84" s="90">
        <f>'3_Giả định'!$C$10*(1+$B$54)</f>
        <v>840000</v>
      </c>
      <c r="H84" s="90">
        <f>'3_Giả định'!$C$11</f>
        <v>120000000</v>
      </c>
      <c r="I84" s="90">
        <f>'3_Giả định'!$C$12</f>
        <v>400000000</v>
      </c>
      <c r="J84" s="90">
        <f>'3_Giả định'!$C$13</f>
        <v>1500000000</v>
      </c>
      <c r="K84" s="92">
        <f>'3_Giả định'!$C$14</f>
        <v>0.15</v>
      </c>
    </row>
    <row r="85" spans="1:26" ht="15" hidden="1" customHeight="1" outlineLevel="1" x14ac:dyDescent="0.2">
      <c r="A85" s="89" t="s">
        <v>476</v>
      </c>
      <c r="B85" s="90">
        <f>'3_Giả định'!$C$17</f>
        <v>139500</v>
      </c>
      <c r="C85" s="90">
        <f>'3_Giả định'!$C$18</f>
        <v>14699.65984</v>
      </c>
      <c r="D85" s="91">
        <f>'3_Giả định'!$C$7*(1-$B$54)</f>
        <v>240</v>
      </c>
      <c r="E85" s="92">
        <f>'3_Giả định'!$C$8</f>
        <v>0.08</v>
      </c>
      <c r="F85" s="92">
        <f>'3_Giả định'!$C$9</f>
        <v>0.15</v>
      </c>
      <c r="G85" s="90">
        <f>'3_Giả định'!$C$10</f>
        <v>700000</v>
      </c>
      <c r="H85" s="90">
        <f>'3_Giả định'!$C$11</f>
        <v>120000000</v>
      </c>
      <c r="I85" s="90">
        <f>'3_Giả định'!$C$12</f>
        <v>400000000</v>
      </c>
      <c r="J85" s="90">
        <f>'3_Giả định'!$C$13</f>
        <v>1500000000</v>
      </c>
      <c r="K85" s="92">
        <f>'3_Giả định'!$C$14</f>
        <v>0.15</v>
      </c>
    </row>
    <row r="86" spans="1:26" ht="15" hidden="1" customHeight="1" outlineLevel="1" x14ac:dyDescent="0.2">
      <c r="A86" s="89" t="s">
        <v>477</v>
      </c>
      <c r="B86" s="90">
        <f>'3_Giả định'!$C$17</f>
        <v>139500</v>
      </c>
      <c r="C86" s="90">
        <f>'3_Giả định'!$C$18</f>
        <v>14699.65984</v>
      </c>
      <c r="D86" s="91">
        <f>'3_Giả định'!$C$7</f>
        <v>300</v>
      </c>
      <c r="E86" s="92">
        <f>'3_Giả định'!$C$8*(1-$B$54)</f>
        <v>6.4000000000000001E-2</v>
      </c>
      <c r="F86" s="92">
        <f>'3_Giả định'!$C$9</f>
        <v>0.15</v>
      </c>
      <c r="G86" s="90">
        <f>'3_Giả định'!$C$10</f>
        <v>700000</v>
      </c>
      <c r="H86" s="90">
        <f>'3_Giả định'!$C$11</f>
        <v>120000000</v>
      </c>
      <c r="I86" s="90">
        <f>'3_Giả định'!$C$12</f>
        <v>400000000</v>
      </c>
      <c r="J86" s="90">
        <f>'3_Giả định'!$C$13</f>
        <v>1500000000</v>
      </c>
      <c r="K86" s="92">
        <f>'3_Giả định'!$C$14</f>
        <v>0.15</v>
      </c>
    </row>
    <row r="87" spans="1:26" ht="15" hidden="1" customHeight="1" outlineLevel="1" x14ac:dyDescent="0.2">
      <c r="A87" s="89" t="s">
        <v>478</v>
      </c>
      <c r="B87" s="90">
        <f>'3_Giả định'!$C$17</f>
        <v>139500</v>
      </c>
      <c r="C87" s="90">
        <f>'3_Giả định'!$C$18</f>
        <v>14699.65984</v>
      </c>
      <c r="D87" s="91">
        <f>'3_Giả định'!$C$7</f>
        <v>300</v>
      </c>
      <c r="E87" s="92">
        <f>'3_Giả định'!$C$8</f>
        <v>0.08</v>
      </c>
      <c r="F87" s="92">
        <f>'3_Giả định'!$C$9</f>
        <v>0.15</v>
      </c>
      <c r="G87" s="90">
        <f>'3_Giả định'!$C$10</f>
        <v>700000</v>
      </c>
      <c r="H87" s="90">
        <f>'3_Giả định'!$C$11*(1+$B$54)</f>
        <v>144000000</v>
      </c>
      <c r="I87" s="90">
        <f>'3_Giả định'!$C$12</f>
        <v>400000000</v>
      </c>
      <c r="J87" s="90">
        <f>'3_Giả định'!$C$13</f>
        <v>1500000000</v>
      </c>
      <c r="K87" s="92">
        <f>'3_Giả định'!$C$14</f>
        <v>0.15</v>
      </c>
    </row>
    <row r="88" spans="1:26" ht="15" hidden="1" customHeight="1" outlineLevel="1" x14ac:dyDescent="0.2">
      <c r="A88" s="89" t="s">
        <v>479</v>
      </c>
      <c r="B88" s="90">
        <f>'2_Định giá'!$D$15*'3_Giả định'!$C$5*(1-'2_Định giá'!$B$27)</f>
        <v>99000</v>
      </c>
      <c r="C88" s="90">
        <f>'2_Định giá'!$E$15*'3_Giả định'!$C$6</f>
        <v>6255.1743999999999</v>
      </c>
      <c r="D88" s="91">
        <f>'3_Giả định'!$C$7</f>
        <v>300</v>
      </c>
      <c r="E88" s="92">
        <f>'3_Giả định'!$C$8</f>
        <v>0.08</v>
      </c>
      <c r="F88" s="92">
        <f>'3_Giả định'!$C$9</f>
        <v>0.15</v>
      </c>
      <c r="G88" s="90">
        <f>'3_Giả định'!$C$10</f>
        <v>700000</v>
      </c>
      <c r="H88" s="90">
        <f>'3_Giả định'!$C$11</f>
        <v>120000000</v>
      </c>
      <c r="I88" s="90">
        <f>'3_Giả định'!$C$12</f>
        <v>400000000</v>
      </c>
      <c r="J88" s="90">
        <f>'3_Giả định'!$C$13</f>
        <v>1500000000</v>
      </c>
      <c r="K88" s="92">
        <f>'3_Giả định'!$C$14</f>
        <v>0.15</v>
      </c>
    </row>
    <row r="89" spans="1:26" ht="15" hidden="1" customHeight="1" outlineLevel="1" x14ac:dyDescent="0.2"/>
    <row r="90" spans="1:26" ht="15" hidden="1" customHeight="1" outlineLevel="1" x14ac:dyDescent="0.2"/>
    <row r="91" spans="1:26" ht="15" hidden="1" customHeight="1" outlineLevel="1" x14ac:dyDescent="0.2"/>
    <row r="92" spans="1:26" ht="15" hidden="1" customHeight="1" outlineLevel="1" x14ac:dyDescent="0.2">
      <c r="A92" s="89" t="s">
        <v>480</v>
      </c>
      <c r="C92" s="91">
        <f>$D$80*(1+$E$80)^0</f>
        <v>300</v>
      </c>
      <c r="D92" s="91">
        <f>$D$80*(1+$E$80)^1</f>
        <v>324</v>
      </c>
      <c r="E92" s="91">
        <f>$D$80*(1+$E$80)^2</f>
        <v>349.92</v>
      </c>
      <c r="F92" s="91">
        <f>$D$80*(1+$E$80)^3</f>
        <v>377.91360000000003</v>
      </c>
      <c r="G92" s="91">
        <f>$D$80*(1+$E$80)^4</f>
        <v>408.1466880000001</v>
      </c>
      <c r="H92" s="91">
        <f>$D$80*(1+$E$80)^5</f>
        <v>440.7984230400001</v>
      </c>
      <c r="I92" s="91">
        <f>$D$80*(1+$E$80)^6</f>
        <v>476.06229688320019</v>
      </c>
      <c r="J92" s="91">
        <f>$D$80*(1+$E$80)^7</f>
        <v>514.14728063385621</v>
      </c>
      <c r="K92" s="91">
        <f>$D$80*(1+$E$80)^8</f>
        <v>555.27906308456465</v>
      </c>
      <c r="L92" s="91">
        <f>$D$80*(1+$E$80)^9</f>
        <v>599.70138813132996</v>
      </c>
      <c r="M92" s="91">
        <f>$D$80*(1+$E$80)^10</f>
        <v>647.67749918183631</v>
      </c>
      <c r="N92" s="91">
        <f>$D$80*(1+$E$80)^11</f>
        <v>699.49169911638319</v>
      </c>
      <c r="O92" s="91">
        <f>$D$80*(1+$E$80)^12</f>
        <v>755.45103504569397</v>
      </c>
      <c r="P92" s="91">
        <f>$D$80*(1+$E$80)^13</f>
        <v>815.88711784934947</v>
      </c>
      <c r="Q92" s="91">
        <f>$D$80*(1+$E$80)^14</f>
        <v>881.15808727729757</v>
      </c>
      <c r="R92" s="91">
        <f>$D$80*(1+$E$80)^15</f>
        <v>951.65073425948151</v>
      </c>
      <c r="S92" s="91">
        <f>$D$80*(1+$E$80)^16</f>
        <v>1027.78279300024</v>
      </c>
      <c r="T92" s="91">
        <f>$D$80*(1+$E$80)^17</f>
        <v>1110.0054164402591</v>
      </c>
      <c r="U92" s="91">
        <f>$D$80*(1+$E$80)^18</f>
        <v>1198.80584975548</v>
      </c>
      <c r="V92" s="91">
        <f>$D$80*(1+$E$80)^19</f>
        <v>1294.7103177359186</v>
      </c>
      <c r="W92" s="91">
        <f>$D$80*(1+$E$80)^20</f>
        <v>1398.2871431547919</v>
      </c>
      <c r="X92" s="91">
        <f>$D$80*(1+$E$80)^21</f>
        <v>1510.1501146071753</v>
      </c>
      <c r="Y92" s="91">
        <f>$D$80*(1+$E$80)^22</f>
        <v>1630.9621237757497</v>
      </c>
      <c r="Z92" s="91">
        <f>$D$80*(1+$E$80)^23</f>
        <v>1761.4390936778095</v>
      </c>
    </row>
    <row r="93" spans="1:26" ht="15" hidden="1" customHeight="1" outlineLevel="1" x14ac:dyDescent="0.2">
      <c r="A93" s="89" t="s">
        <v>481</v>
      </c>
      <c r="B93" s="89">
        <v>0</v>
      </c>
      <c r="C93" s="91">
        <f t="shared" ref="C93:Z93" si="14">B93*(1-$F$80)+C92</f>
        <v>300</v>
      </c>
      <c r="D93" s="91">
        <f t="shared" si="14"/>
        <v>579</v>
      </c>
      <c r="E93" s="91">
        <f t="shared" si="14"/>
        <v>842.06999999999994</v>
      </c>
      <c r="F93" s="91">
        <f t="shared" si="14"/>
        <v>1093.6731</v>
      </c>
      <c r="G93" s="91">
        <f t="shared" si="14"/>
        <v>1337.7688230000001</v>
      </c>
      <c r="H93" s="91">
        <f t="shared" si="14"/>
        <v>1577.9019225900001</v>
      </c>
      <c r="I93" s="91">
        <f t="shared" si="14"/>
        <v>1817.2789310847002</v>
      </c>
      <c r="J93" s="91">
        <f t="shared" si="14"/>
        <v>2058.8343720558514</v>
      </c>
      <c r="K93" s="91">
        <f t="shared" si="14"/>
        <v>2305.2882793320382</v>
      </c>
      <c r="L93" s="91">
        <f t="shared" si="14"/>
        <v>2559.1964255635626</v>
      </c>
      <c r="M93" s="91">
        <f t="shared" si="14"/>
        <v>2822.9944609108643</v>
      </c>
      <c r="N93" s="91">
        <f t="shared" si="14"/>
        <v>3099.0369908906177</v>
      </c>
      <c r="O93" s="91">
        <f t="shared" si="14"/>
        <v>3389.6324773027191</v>
      </c>
      <c r="P93" s="91">
        <f t="shared" si="14"/>
        <v>3697.0747235566605</v>
      </c>
      <c r="Q93" s="91">
        <f t="shared" si="14"/>
        <v>4023.6716023004587</v>
      </c>
      <c r="R93" s="91">
        <f t="shared" si="14"/>
        <v>4371.7715962148714</v>
      </c>
      <c r="S93" s="91">
        <f t="shared" si="14"/>
        <v>4743.7886497828804</v>
      </c>
      <c r="T93" s="91">
        <f t="shared" si="14"/>
        <v>5142.2257687557067</v>
      </c>
      <c r="U93" s="91">
        <f t="shared" si="14"/>
        <v>5569.6977531978309</v>
      </c>
      <c r="V93" s="91">
        <f t="shared" si="14"/>
        <v>6028.9534079540745</v>
      </c>
      <c r="W93" s="91">
        <f t="shared" si="14"/>
        <v>6522.8975399157553</v>
      </c>
      <c r="X93" s="91">
        <f t="shared" si="14"/>
        <v>7054.6130235355668</v>
      </c>
      <c r="Y93" s="91">
        <f t="shared" si="14"/>
        <v>7627.3831937809809</v>
      </c>
      <c r="Z93" s="91">
        <f t="shared" si="14"/>
        <v>8244.7148083916436</v>
      </c>
    </row>
    <row r="94" spans="1:26" ht="15" hidden="1" customHeight="1" outlineLevel="1" x14ac:dyDescent="0.2">
      <c r="A94" s="89" t="s">
        <v>482</v>
      </c>
      <c r="B94" s="90">
        <f>-$I$80</f>
        <v>-400000000</v>
      </c>
      <c r="C94" s="90">
        <f t="shared" ref="C94:Z94" si="15">C93*($B$80-$C$80)-C92*$G$80-$H$80</f>
        <v>-292559897.95200002</v>
      </c>
      <c r="D94" s="90">
        <f t="shared" si="15"/>
        <v>-274540603.04736</v>
      </c>
      <c r="E94" s="90">
        <f t="shared" si="15"/>
        <v>-259853377.56146881</v>
      </c>
      <c r="F94" s="90">
        <f t="shared" si="15"/>
        <v>-248048745.09615836</v>
      </c>
      <c r="G94" s="90">
        <f t="shared" si="15"/>
        <v>-238748677.43415725</v>
      </c>
      <c r="H94" s="90">
        <f t="shared" si="15"/>
        <v>-231636199.44965008</v>
      </c>
      <c r="I94" s="90">
        <f t="shared" si="15"/>
        <v>-226446579.05326834</v>
      </c>
      <c r="J94" s="90">
        <f t="shared" si="15"/>
        <v>-222959866.47802913</v>
      </c>
      <c r="K94" s="90">
        <f t="shared" si="15"/>
        <v>-220994582.73169577</v>
      </c>
      <c r="L94" s="90">
        <f t="shared" si="15"/>
        <v>-220402387.24534225</v>
      </c>
      <c r="M94" s="90">
        <f t="shared" si="15"/>
        <v>-221063580.43581378</v>
      </c>
      <c r="N94" s="90">
        <f t="shared" si="15"/>
        <v>-222883318.74989635</v>
      </c>
      <c r="O94" s="90">
        <f t="shared" si="15"/>
        <v>-225788438.34722298</v>
      </c>
      <c r="P94" s="90">
        <f t="shared" si="15"/>
        <v>-229724799.39773548</v>
      </c>
      <c r="Q94" s="90">
        <f t="shared" si="15"/>
        <v>-234655076.43487889</v>
      </c>
      <c r="R94" s="90">
        <f t="shared" si="15"/>
        <v>-240556931.67219496</v>
      </c>
      <c r="S94" s="90">
        <f t="shared" si="15"/>
        <v>-247421517.96011746</v>
      </c>
      <c r="T94" s="90">
        <f t="shared" si="15"/>
        <v>-255252266.38795173</v>
      </c>
      <c r="U94" s="90">
        <f t="shared" si="15"/>
        <v>-264063920.64135909</v>
      </c>
      <c r="V94" s="90">
        <f t="shared" si="15"/>
        <v>-273881786.29368329</v>
      </c>
      <c r="W94" s="90">
        <f t="shared" si="15"/>
        <v>-284741168.39804101</v>
      </c>
      <c r="X94" s="90">
        <f t="shared" si="15"/>
        <v>-296686975.19061792</v>
      </c>
      <c r="Y94" s="90">
        <f t="shared" si="15"/>
        <v>-309773469.52849114</v>
      </c>
      <c r="Z94" s="90">
        <f t="shared" si="15"/>
        <v>-324064152.96500039</v>
      </c>
    </row>
    <row r="95" spans="1:26" ht="15" hidden="1" customHeight="1" outlineLevel="1" x14ac:dyDescent="0.2">
      <c r="A95" s="89" t="s">
        <v>483</v>
      </c>
      <c r="B95" s="90">
        <f>$J$80+B94</f>
        <v>1100000000</v>
      </c>
      <c r="C95" s="90">
        <f t="shared" ref="C95:Z95" si="16">B95+C94</f>
        <v>807440102.04799998</v>
      </c>
      <c r="D95" s="90">
        <f t="shared" si="16"/>
        <v>532899499.00063998</v>
      </c>
      <c r="E95" s="90">
        <f t="shared" si="16"/>
        <v>273046121.4391712</v>
      </c>
      <c r="F95" s="90">
        <f t="shared" si="16"/>
        <v>24997376.34301284</v>
      </c>
      <c r="G95" s="90">
        <f t="shared" si="16"/>
        <v>-213751301.09114441</v>
      </c>
      <c r="H95" s="90">
        <f t="shared" si="16"/>
        <v>-445387500.54079449</v>
      </c>
      <c r="I95" s="90">
        <f t="shared" si="16"/>
        <v>-671834079.59406281</v>
      </c>
      <c r="J95" s="90">
        <f t="shared" si="16"/>
        <v>-894793946.07209194</v>
      </c>
      <c r="K95" s="90">
        <f t="shared" si="16"/>
        <v>-1115788528.8037877</v>
      </c>
      <c r="L95" s="90">
        <f t="shared" si="16"/>
        <v>-1336190916.04913</v>
      </c>
      <c r="M95" s="90">
        <f t="shared" si="16"/>
        <v>-1557254496.4849439</v>
      </c>
      <c r="N95" s="90">
        <f t="shared" si="16"/>
        <v>-1780137815.2348402</v>
      </c>
      <c r="O95" s="90">
        <f t="shared" si="16"/>
        <v>-2005926253.5820632</v>
      </c>
      <c r="P95" s="90">
        <f t="shared" si="16"/>
        <v>-2235651052.9797988</v>
      </c>
      <c r="Q95" s="90">
        <f t="shared" si="16"/>
        <v>-2470306129.4146776</v>
      </c>
      <c r="R95" s="90">
        <f t="shared" si="16"/>
        <v>-2710863061.0868726</v>
      </c>
      <c r="S95" s="90">
        <f t="shared" si="16"/>
        <v>-2958284579.0469899</v>
      </c>
      <c r="T95" s="90">
        <f t="shared" si="16"/>
        <v>-3213536845.4349418</v>
      </c>
      <c r="U95" s="90">
        <f t="shared" si="16"/>
        <v>-3477600766.0763006</v>
      </c>
      <c r="V95" s="90">
        <f t="shared" si="16"/>
        <v>-3751482552.3699837</v>
      </c>
      <c r="W95" s="90">
        <f t="shared" si="16"/>
        <v>-4036223720.7680244</v>
      </c>
      <c r="X95" s="90">
        <f t="shared" si="16"/>
        <v>-4332910695.958642</v>
      </c>
      <c r="Y95" s="90">
        <f t="shared" si="16"/>
        <v>-4642684165.487133</v>
      </c>
      <c r="Z95" s="90">
        <f t="shared" si="16"/>
        <v>-4966748318.4521332</v>
      </c>
    </row>
    <row r="96" spans="1:26" ht="15" hidden="1" customHeight="1" outlineLevel="1" x14ac:dyDescent="0.2">
      <c r="A96" s="89" t="s">
        <v>484</v>
      </c>
      <c r="B96" s="90">
        <f>B94</f>
        <v>-400000000</v>
      </c>
      <c r="C96" s="90">
        <f t="shared" ref="C96:Z96" si="17">B96+C94</f>
        <v>-692559897.95200002</v>
      </c>
      <c r="D96" s="90">
        <f t="shared" si="17"/>
        <v>-967100500.99936008</v>
      </c>
      <c r="E96" s="90">
        <f t="shared" si="17"/>
        <v>-1226953878.5608289</v>
      </c>
      <c r="F96" s="90">
        <f t="shared" si="17"/>
        <v>-1475002623.6569872</v>
      </c>
      <c r="G96" s="90">
        <f t="shared" si="17"/>
        <v>-1713751301.0911446</v>
      </c>
      <c r="H96" s="90">
        <f t="shared" si="17"/>
        <v>-1945387500.5407946</v>
      </c>
      <c r="I96" s="90">
        <f t="shared" si="17"/>
        <v>-2171834079.5940628</v>
      </c>
      <c r="J96" s="90">
        <f t="shared" si="17"/>
        <v>-2394793946.0720921</v>
      </c>
      <c r="K96" s="90">
        <f t="shared" si="17"/>
        <v>-2615788528.8037877</v>
      </c>
      <c r="L96" s="90">
        <f t="shared" si="17"/>
        <v>-2836190916.04913</v>
      </c>
      <c r="M96" s="90">
        <f t="shared" si="17"/>
        <v>-3057254496.4849439</v>
      </c>
      <c r="N96" s="90">
        <f t="shared" si="17"/>
        <v>-3280137815.2348404</v>
      </c>
      <c r="O96" s="90">
        <f t="shared" si="17"/>
        <v>-3505926253.5820632</v>
      </c>
      <c r="P96" s="90">
        <f t="shared" si="17"/>
        <v>-3735651052.9797988</v>
      </c>
      <c r="Q96" s="90">
        <f t="shared" si="17"/>
        <v>-3970306129.4146776</v>
      </c>
      <c r="R96" s="90">
        <f t="shared" si="17"/>
        <v>-4210863061.0868726</v>
      </c>
      <c r="S96" s="90">
        <f t="shared" si="17"/>
        <v>-4458284579.0469904</v>
      </c>
      <c r="T96" s="90">
        <f t="shared" si="17"/>
        <v>-4713536845.4349422</v>
      </c>
      <c r="U96" s="90">
        <f t="shared" si="17"/>
        <v>-4977600766.0763016</v>
      </c>
      <c r="V96" s="90">
        <f t="shared" si="17"/>
        <v>-5251482552.3699846</v>
      </c>
      <c r="W96" s="90">
        <f t="shared" si="17"/>
        <v>-5536223720.7680254</v>
      </c>
      <c r="X96" s="90">
        <f t="shared" si="17"/>
        <v>-5832910695.958643</v>
      </c>
      <c r="Y96" s="90">
        <f t="shared" si="17"/>
        <v>-6142684165.487134</v>
      </c>
      <c r="Z96" s="90">
        <f t="shared" si="17"/>
        <v>-6466748318.4521341</v>
      </c>
    </row>
    <row r="97" spans="1:26" ht="15" hidden="1" customHeight="1" outlineLevel="1" x14ac:dyDescent="0.2"/>
    <row r="98" spans="1:26" ht="15" hidden="1" customHeight="1" outlineLevel="1" x14ac:dyDescent="0.2">
      <c r="A98" s="89" t="s">
        <v>485</v>
      </c>
      <c r="C98" s="91">
        <f>$D$81*(1+$E$81)^0</f>
        <v>300</v>
      </c>
      <c r="D98" s="91">
        <f>$D$81*(1+$E$81)^1</f>
        <v>324</v>
      </c>
      <c r="E98" s="91">
        <f>$D$81*(1+$E$81)^2</f>
        <v>349.92</v>
      </c>
      <c r="F98" s="91">
        <f>$D$81*(1+$E$81)^3</f>
        <v>377.91360000000003</v>
      </c>
      <c r="G98" s="91">
        <f>$D$81*(1+$E$81)^4</f>
        <v>408.1466880000001</v>
      </c>
      <c r="H98" s="91">
        <f>$D$81*(1+$E$81)^5</f>
        <v>440.7984230400001</v>
      </c>
      <c r="I98" s="91">
        <f>$D$81*(1+$E$81)^6</f>
        <v>476.06229688320019</v>
      </c>
      <c r="J98" s="91">
        <f>$D$81*(1+$E$81)^7</f>
        <v>514.14728063385621</v>
      </c>
      <c r="K98" s="91">
        <f>$D$81*(1+$E$81)^8</f>
        <v>555.27906308456465</v>
      </c>
      <c r="L98" s="91">
        <f>$D$81*(1+$E$81)^9</f>
        <v>599.70138813132996</v>
      </c>
      <c r="M98" s="91">
        <f>$D$81*(1+$E$81)^10</f>
        <v>647.67749918183631</v>
      </c>
      <c r="N98" s="91">
        <f>$D$81*(1+$E$81)^11</f>
        <v>699.49169911638319</v>
      </c>
      <c r="O98" s="91">
        <f>$D$81*(1+$E$81)^12</f>
        <v>755.45103504569397</v>
      </c>
      <c r="P98" s="91">
        <f>$D$81*(1+$E$81)^13</f>
        <v>815.88711784934947</v>
      </c>
      <c r="Q98" s="91">
        <f>$D$81*(1+$E$81)^14</f>
        <v>881.15808727729757</v>
      </c>
      <c r="R98" s="91">
        <f>$D$81*(1+$E$81)^15</f>
        <v>951.65073425948151</v>
      </c>
      <c r="S98" s="91">
        <f>$D$81*(1+$E$81)^16</f>
        <v>1027.78279300024</v>
      </c>
      <c r="T98" s="91">
        <f>$D$81*(1+$E$81)^17</f>
        <v>1110.0054164402591</v>
      </c>
      <c r="U98" s="91">
        <f>$D$81*(1+$E$81)^18</f>
        <v>1198.80584975548</v>
      </c>
      <c r="V98" s="91">
        <f>$D$81*(1+$E$81)^19</f>
        <v>1294.7103177359186</v>
      </c>
      <c r="W98" s="91">
        <f>$D$81*(1+$E$81)^20</f>
        <v>1398.2871431547919</v>
      </c>
      <c r="X98" s="91">
        <f>$D$81*(1+$E$81)^21</f>
        <v>1510.1501146071753</v>
      </c>
      <c r="Y98" s="91">
        <f>$D$81*(1+$E$81)^22</f>
        <v>1630.9621237757497</v>
      </c>
      <c r="Z98" s="91">
        <f>$D$81*(1+$E$81)^23</f>
        <v>1761.4390936778095</v>
      </c>
    </row>
    <row r="99" spans="1:26" ht="15" hidden="1" customHeight="1" outlineLevel="1" x14ac:dyDescent="0.2">
      <c r="A99" s="89" t="s">
        <v>486</v>
      </c>
      <c r="B99" s="89">
        <v>0</v>
      </c>
      <c r="C99" s="91">
        <f t="shared" ref="C99:Z99" si="18">B99*(1-$F$81)+C98</f>
        <v>300</v>
      </c>
      <c r="D99" s="91">
        <f t="shared" si="18"/>
        <v>579</v>
      </c>
      <c r="E99" s="91">
        <f t="shared" si="18"/>
        <v>842.06999999999994</v>
      </c>
      <c r="F99" s="91">
        <f t="shared" si="18"/>
        <v>1093.6731</v>
      </c>
      <c r="G99" s="91">
        <f t="shared" si="18"/>
        <v>1337.7688230000001</v>
      </c>
      <c r="H99" s="91">
        <f t="shared" si="18"/>
        <v>1577.9019225900001</v>
      </c>
      <c r="I99" s="91">
        <f t="shared" si="18"/>
        <v>1817.2789310847002</v>
      </c>
      <c r="J99" s="91">
        <f t="shared" si="18"/>
        <v>2058.8343720558514</v>
      </c>
      <c r="K99" s="91">
        <f t="shared" si="18"/>
        <v>2305.2882793320382</v>
      </c>
      <c r="L99" s="91">
        <f t="shared" si="18"/>
        <v>2559.1964255635626</v>
      </c>
      <c r="M99" s="91">
        <f t="shared" si="18"/>
        <v>2822.9944609108643</v>
      </c>
      <c r="N99" s="91">
        <f t="shared" si="18"/>
        <v>3099.0369908906177</v>
      </c>
      <c r="O99" s="91">
        <f t="shared" si="18"/>
        <v>3389.6324773027191</v>
      </c>
      <c r="P99" s="91">
        <f t="shared" si="18"/>
        <v>3697.0747235566605</v>
      </c>
      <c r="Q99" s="91">
        <f t="shared" si="18"/>
        <v>4023.6716023004587</v>
      </c>
      <c r="R99" s="91">
        <f t="shared" si="18"/>
        <v>4371.7715962148714</v>
      </c>
      <c r="S99" s="91">
        <f t="shared" si="18"/>
        <v>4743.7886497828804</v>
      </c>
      <c r="T99" s="91">
        <f t="shared" si="18"/>
        <v>5142.2257687557067</v>
      </c>
      <c r="U99" s="91">
        <f t="shared" si="18"/>
        <v>5569.6977531978309</v>
      </c>
      <c r="V99" s="91">
        <f t="shared" si="18"/>
        <v>6028.9534079540745</v>
      </c>
      <c r="W99" s="91">
        <f t="shared" si="18"/>
        <v>6522.8975399157553</v>
      </c>
      <c r="X99" s="91">
        <f t="shared" si="18"/>
        <v>7054.6130235355668</v>
      </c>
      <c r="Y99" s="91">
        <f t="shared" si="18"/>
        <v>7627.3831937809809</v>
      </c>
      <c r="Z99" s="91">
        <f t="shared" si="18"/>
        <v>8244.7148083916436</v>
      </c>
    </row>
    <row r="100" spans="1:26" ht="15" hidden="1" customHeight="1" outlineLevel="1" x14ac:dyDescent="0.2">
      <c r="A100" s="89" t="s">
        <v>487</v>
      </c>
      <c r="B100" s="90">
        <f>-$I$81</f>
        <v>-400000000</v>
      </c>
      <c r="C100" s="90">
        <f t="shared" ref="C100:Z100" si="19">C99*($B$81-$C$81)-C98*$G$81-$H$81</f>
        <v>-300929897.95200002</v>
      </c>
      <c r="D100" s="90">
        <f t="shared" si="19"/>
        <v>-290694703.04736</v>
      </c>
      <c r="E100" s="90">
        <f t="shared" si="19"/>
        <v>-283347130.56146884</v>
      </c>
      <c r="F100" s="90">
        <f t="shared" si="19"/>
        <v>-278562224.58615834</v>
      </c>
      <c r="G100" s="90">
        <f t="shared" si="19"/>
        <v>-276072427.59585726</v>
      </c>
      <c r="H100" s="90">
        <f t="shared" si="19"/>
        <v>-275659663.0899111</v>
      </c>
      <c r="I100" s="90">
        <f t="shared" si="19"/>
        <v>-277148661.23053145</v>
      </c>
      <c r="J100" s="90">
        <f t="shared" si="19"/>
        <v>-280401345.45838737</v>
      </c>
      <c r="K100" s="90">
        <f t="shared" si="19"/>
        <v>-285312125.72505963</v>
      </c>
      <c r="L100" s="90">
        <f t="shared" si="19"/>
        <v>-291803967.51856565</v>
      </c>
      <c r="M100" s="90">
        <f t="shared" si="19"/>
        <v>-299825125.8952269</v>
      </c>
      <c r="N100" s="90">
        <f t="shared" si="19"/>
        <v>-309346450.7957446</v>
      </c>
      <c r="O100" s="90">
        <f t="shared" si="19"/>
        <v>-320359184.46396881</v>
      </c>
      <c r="P100" s="90">
        <f t="shared" si="19"/>
        <v>-332873184.18496627</v>
      </c>
      <c r="Q100" s="90">
        <f t="shared" si="19"/>
        <v>-346915514.13906169</v>
      </c>
      <c r="R100" s="90">
        <f t="shared" si="19"/>
        <v>-362529359.20658982</v>
      </c>
      <c r="S100" s="90">
        <f t="shared" si="19"/>
        <v>-379773221.28905982</v>
      </c>
      <c r="T100" s="90">
        <f t="shared" si="19"/>
        <v>-398720365.33623588</v>
      </c>
      <c r="U100" s="90">
        <f t="shared" si="19"/>
        <v>-419458487.95557857</v>
      </c>
      <c r="V100" s="90">
        <f t="shared" si="19"/>
        <v>-442089586.37560201</v>
      </c>
      <c r="W100" s="90">
        <f t="shared" si="19"/>
        <v>-466730009.7616905</v>
      </c>
      <c r="X100" s="90">
        <f t="shared" si="19"/>
        <v>-493510678.54726017</v>
      </c>
      <c r="Y100" s="90">
        <f t="shared" si="19"/>
        <v>-522577460.63498044</v>
      </c>
      <c r="Z100" s="90">
        <f t="shared" si="19"/>
        <v>-554091696.11912727</v>
      </c>
    </row>
    <row r="101" spans="1:26" ht="15" hidden="1" customHeight="1" outlineLevel="1" x14ac:dyDescent="0.2">
      <c r="A101" s="89" t="s">
        <v>488</v>
      </c>
      <c r="B101" s="90">
        <f>$J$81+B100</f>
        <v>1100000000</v>
      </c>
      <c r="C101" s="90">
        <f t="shared" ref="C101:Z101" si="20">B101+C100</f>
        <v>799070102.04799998</v>
      </c>
      <c r="D101" s="90">
        <f t="shared" si="20"/>
        <v>508375399.00063998</v>
      </c>
      <c r="E101" s="90">
        <f t="shared" si="20"/>
        <v>225028268.43917114</v>
      </c>
      <c r="F101" s="90">
        <f t="shared" si="20"/>
        <v>-53533956.1469872</v>
      </c>
      <c r="G101" s="90">
        <f t="shared" si="20"/>
        <v>-329606383.74284446</v>
      </c>
      <c r="H101" s="90">
        <f t="shared" si="20"/>
        <v>-605266046.83275557</v>
      </c>
      <c r="I101" s="90">
        <f t="shared" si="20"/>
        <v>-882414708.06328702</v>
      </c>
      <c r="J101" s="90">
        <f t="shared" si="20"/>
        <v>-1162816053.5216744</v>
      </c>
      <c r="K101" s="90">
        <f t="shared" si="20"/>
        <v>-1448128179.2467341</v>
      </c>
      <c r="L101" s="90">
        <f t="shared" si="20"/>
        <v>-1739932146.7652998</v>
      </c>
      <c r="M101" s="90">
        <f t="shared" si="20"/>
        <v>-2039757272.6605268</v>
      </c>
      <c r="N101" s="90">
        <f t="shared" si="20"/>
        <v>-2349103723.4562712</v>
      </c>
      <c r="O101" s="90">
        <f t="shared" si="20"/>
        <v>-2669462907.9202399</v>
      </c>
      <c r="P101" s="90">
        <f t="shared" si="20"/>
        <v>-3002336092.105206</v>
      </c>
      <c r="Q101" s="90">
        <f t="shared" si="20"/>
        <v>-3349251606.2442675</v>
      </c>
      <c r="R101" s="90">
        <f t="shared" si="20"/>
        <v>-3711780965.4508572</v>
      </c>
      <c r="S101" s="90">
        <f t="shared" si="20"/>
        <v>-4091554186.7399168</v>
      </c>
      <c r="T101" s="90">
        <f t="shared" si="20"/>
        <v>-4490274552.0761528</v>
      </c>
      <c r="U101" s="90">
        <f t="shared" si="20"/>
        <v>-4909733040.0317316</v>
      </c>
      <c r="V101" s="90">
        <f t="shared" si="20"/>
        <v>-5351822626.4073334</v>
      </c>
      <c r="W101" s="90">
        <f t="shared" si="20"/>
        <v>-5818552636.1690235</v>
      </c>
      <c r="X101" s="90">
        <f t="shared" si="20"/>
        <v>-6312063314.7162838</v>
      </c>
      <c r="Y101" s="90">
        <f t="shared" si="20"/>
        <v>-6834640775.351264</v>
      </c>
      <c r="Z101" s="90">
        <f t="shared" si="20"/>
        <v>-7388732471.4703913</v>
      </c>
    </row>
    <row r="102" spans="1:26" ht="15" hidden="1" customHeight="1" outlineLevel="1" x14ac:dyDescent="0.2">
      <c r="A102" s="89" t="s">
        <v>489</v>
      </c>
      <c r="B102" s="90">
        <f>B100</f>
        <v>-400000000</v>
      </c>
      <c r="C102" s="90">
        <f t="shared" ref="C102:Z102" si="21">B102+C100</f>
        <v>-700929897.95200002</v>
      </c>
      <c r="D102" s="90">
        <f t="shared" si="21"/>
        <v>-991624600.99936008</v>
      </c>
      <c r="E102" s="90">
        <f t="shared" si="21"/>
        <v>-1274971731.5608289</v>
      </c>
      <c r="F102" s="90">
        <f t="shared" si="21"/>
        <v>-1553533956.1469872</v>
      </c>
      <c r="G102" s="90">
        <f t="shared" si="21"/>
        <v>-1829606383.7428446</v>
      </c>
      <c r="H102" s="90">
        <f t="shared" si="21"/>
        <v>-2105266046.8327556</v>
      </c>
      <c r="I102" s="90">
        <f t="shared" si="21"/>
        <v>-2382414708.0632868</v>
      </c>
      <c r="J102" s="90">
        <f t="shared" si="21"/>
        <v>-2662816053.5216742</v>
      </c>
      <c r="K102" s="90">
        <f t="shared" si="21"/>
        <v>-2948128179.2467337</v>
      </c>
      <c r="L102" s="90">
        <f t="shared" si="21"/>
        <v>-3239932146.7652993</v>
      </c>
      <c r="M102" s="90">
        <f t="shared" si="21"/>
        <v>-3539757272.6605263</v>
      </c>
      <c r="N102" s="90">
        <f t="shared" si="21"/>
        <v>-3849103723.4562707</v>
      </c>
      <c r="O102" s="90">
        <f t="shared" si="21"/>
        <v>-4169462907.9202394</v>
      </c>
      <c r="P102" s="90">
        <f t="shared" si="21"/>
        <v>-4502336092.1052055</v>
      </c>
      <c r="Q102" s="90">
        <f t="shared" si="21"/>
        <v>-4849251606.2442675</v>
      </c>
      <c r="R102" s="90">
        <f t="shared" si="21"/>
        <v>-5211780965.4508572</v>
      </c>
      <c r="S102" s="90">
        <f t="shared" si="21"/>
        <v>-5591554186.7399168</v>
      </c>
      <c r="T102" s="90">
        <f t="shared" si="21"/>
        <v>-5990274552.0761528</v>
      </c>
      <c r="U102" s="90">
        <f t="shared" si="21"/>
        <v>-6409733040.0317316</v>
      </c>
      <c r="V102" s="90">
        <f t="shared" si="21"/>
        <v>-6851822626.4073334</v>
      </c>
      <c r="W102" s="90">
        <f t="shared" si="21"/>
        <v>-7318552636.1690235</v>
      </c>
      <c r="X102" s="90">
        <f t="shared" si="21"/>
        <v>-7812063314.7162838</v>
      </c>
      <c r="Y102" s="90">
        <f t="shared" si="21"/>
        <v>-8334640775.351264</v>
      </c>
      <c r="Z102" s="90">
        <f t="shared" si="21"/>
        <v>-8888732471.4703903</v>
      </c>
    </row>
    <row r="103" spans="1:26" ht="15" hidden="1" customHeight="1" outlineLevel="1" x14ac:dyDescent="0.2"/>
    <row r="104" spans="1:26" ht="15" hidden="1" customHeight="1" outlineLevel="1" x14ac:dyDescent="0.2">
      <c r="A104" s="89" t="s">
        <v>490</v>
      </c>
      <c r="C104" s="91">
        <f>$D$82*(1+$E$82)^0</f>
        <v>300</v>
      </c>
      <c r="D104" s="91">
        <f>$D$82*(1+$E$82)^1</f>
        <v>324</v>
      </c>
      <c r="E104" s="91">
        <f>$D$82*(1+$E$82)^2</f>
        <v>349.92</v>
      </c>
      <c r="F104" s="91">
        <f>$D$82*(1+$E$82)^3</f>
        <v>377.91360000000003</v>
      </c>
      <c r="G104" s="91">
        <f>$D$82*(1+$E$82)^4</f>
        <v>408.1466880000001</v>
      </c>
      <c r="H104" s="91">
        <f>$D$82*(1+$E$82)^5</f>
        <v>440.7984230400001</v>
      </c>
      <c r="I104" s="91">
        <f>$D$82*(1+$E$82)^6</f>
        <v>476.06229688320019</v>
      </c>
      <c r="J104" s="91">
        <f>$D$82*(1+$E$82)^7</f>
        <v>514.14728063385621</v>
      </c>
      <c r="K104" s="91">
        <f>$D$82*(1+$E$82)^8</f>
        <v>555.27906308456465</v>
      </c>
      <c r="L104" s="91">
        <f>$D$82*(1+$E$82)^9</f>
        <v>599.70138813132996</v>
      </c>
      <c r="M104" s="91">
        <f>$D$82*(1+$E$82)^10</f>
        <v>647.67749918183631</v>
      </c>
      <c r="N104" s="91">
        <f>$D$82*(1+$E$82)^11</f>
        <v>699.49169911638319</v>
      </c>
      <c r="O104" s="91">
        <f>$D$82*(1+$E$82)^12</f>
        <v>755.45103504569397</v>
      </c>
      <c r="P104" s="91">
        <f>$D$82*(1+$E$82)^13</f>
        <v>815.88711784934947</v>
      </c>
      <c r="Q104" s="91">
        <f>$D$82*(1+$E$82)^14</f>
        <v>881.15808727729757</v>
      </c>
      <c r="R104" s="91">
        <f>$D$82*(1+$E$82)^15</f>
        <v>951.65073425948151</v>
      </c>
      <c r="S104" s="91">
        <f>$D$82*(1+$E$82)^16</f>
        <v>1027.78279300024</v>
      </c>
      <c r="T104" s="91">
        <f>$D$82*(1+$E$82)^17</f>
        <v>1110.0054164402591</v>
      </c>
      <c r="U104" s="91">
        <f>$D$82*(1+$E$82)^18</f>
        <v>1198.80584975548</v>
      </c>
      <c r="V104" s="91">
        <f>$D$82*(1+$E$82)^19</f>
        <v>1294.7103177359186</v>
      </c>
      <c r="W104" s="91">
        <f>$D$82*(1+$E$82)^20</f>
        <v>1398.2871431547919</v>
      </c>
      <c r="X104" s="91">
        <f>$D$82*(1+$E$82)^21</f>
        <v>1510.1501146071753</v>
      </c>
      <c r="Y104" s="91">
        <f>$D$82*(1+$E$82)^22</f>
        <v>1630.9621237757497</v>
      </c>
      <c r="Z104" s="91">
        <f>$D$82*(1+$E$82)^23</f>
        <v>1761.4390936778095</v>
      </c>
    </row>
    <row r="105" spans="1:26" ht="15" hidden="1" customHeight="1" outlineLevel="1" x14ac:dyDescent="0.2">
      <c r="A105" s="89" t="s">
        <v>491</v>
      </c>
      <c r="B105" s="89">
        <v>0</v>
      </c>
      <c r="C105" s="91">
        <f t="shared" ref="C105:Z105" si="22">B105*(1-$F$82)+C104</f>
        <v>300</v>
      </c>
      <c r="D105" s="91">
        <f t="shared" si="22"/>
        <v>579</v>
      </c>
      <c r="E105" s="91">
        <f t="shared" si="22"/>
        <v>842.06999999999994</v>
      </c>
      <c r="F105" s="91">
        <f t="shared" si="22"/>
        <v>1093.6731</v>
      </c>
      <c r="G105" s="91">
        <f t="shared" si="22"/>
        <v>1337.7688230000001</v>
      </c>
      <c r="H105" s="91">
        <f t="shared" si="22"/>
        <v>1577.9019225900001</v>
      </c>
      <c r="I105" s="91">
        <f t="shared" si="22"/>
        <v>1817.2789310847002</v>
      </c>
      <c r="J105" s="91">
        <f t="shared" si="22"/>
        <v>2058.8343720558514</v>
      </c>
      <c r="K105" s="91">
        <f t="shared" si="22"/>
        <v>2305.2882793320382</v>
      </c>
      <c r="L105" s="91">
        <f t="shared" si="22"/>
        <v>2559.1964255635626</v>
      </c>
      <c r="M105" s="91">
        <f t="shared" si="22"/>
        <v>2822.9944609108643</v>
      </c>
      <c r="N105" s="91">
        <f t="shared" si="22"/>
        <v>3099.0369908906177</v>
      </c>
      <c r="O105" s="91">
        <f t="shared" si="22"/>
        <v>3389.6324773027191</v>
      </c>
      <c r="P105" s="91">
        <f t="shared" si="22"/>
        <v>3697.0747235566605</v>
      </c>
      <c r="Q105" s="91">
        <f t="shared" si="22"/>
        <v>4023.6716023004587</v>
      </c>
      <c r="R105" s="91">
        <f t="shared" si="22"/>
        <v>4371.7715962148714</v>
      </c>
      <c r="S105" s="91">
        <f t="shared" si="22"/>
        <v>4743.7886497828804</v>
      </c>
      <c r="T105" s="91">
        <f t="shared" si="22"/>
        <v>5142.2257687557067</v>
      </c>
      <c r="U105" s="91">
        <f t="shared" si="22"/>
        <v>5569.6977531978309</v>
      </c>
      <c r="V105" s="91">
        <f t="shared" si="22"/>
        <v>6028.9534079540745</v>
      </c>
      <c r="W105" s="91">
        <f t="shared" si="22"/>
        <v>6522.8975399157553</v>
      </c>
      <c r="X105" s="91">
        <f t="shared" si="22"/>
        <v>7054.6130235355668</v>
      </c>
      <c r="Y105" s="91">
        <f t="shared" si="22"/>
        <v>7627.3831937809809</v>
      </c>
      <c r="Z105" s="91">
        <f t="shared" si="22"/>
        <v>8244.7148083916436</v>
      </c>
    </row>
    <row r="106" spans="1:26" ht="15" hidden="1" customHeight="1" outlineLevel="1" x14ac:dyDescent="0.2">
      <c r="A106" s="89" t="s">
        <v>492</v>
      </c>
      <c r="B106" s="90">
        <f>-$I$82</f>
        <v>-400000000</v>
      </c>
      <c r="C106" s="90">
        <f t="shared" ref="C106:Z106" si="23">C105*($B$82-$C$82)-C104*$G$82-$H$82</f>
        <v>-293441877.5424</v>
      </c>
      <c r="D106" s="90">
        <f t="shared" si="23"/>
        <v>-276242823.65683198</v>
      </c>
      <c r="E106" s="90">
        <f t="shared" si="23"/>
        <v>-262329006.07376257</v>
      </c>
      <c r="F106" s="90">
        <f t="shared" si="23"/>
        <v>-251264069.60539001</v>
      </c>
      <c r="G106" s="90">
        <f t="shared" si="23"/>
        <v>-242681626.76268867</v>
      </c>
      <c r="H106" s="90">
        <f t="shared" si="23"/>
        <v>-236275123.75424108</v>
      </c>
      <c r="I106" s="90">
        <f t="shared" si="23"/>
        <v>-231789255.4775371</v>
      </c>
      <c r="J106" s="90">
        <f t="shared" si="23"/>
        <v>-229012699.46525329</v>
      </c>
      <c r="K106" s="90">
        <f t="shared" si="23"/>
        <v>-227771973.43955976</v>
      </c>
      <c r="L106" s="90">
        <f t="shared" si="23"/>
        <v>-227926250.62924784</v>
      </c>
      <c r="M106" s="90">
        <f t="shared" si="23"/>
        <v>-229362992.09693253</v>
      </c>
      <c r="N106" s="90">
        <f t="shared" si="23"/>
        <v>-231994276.66943014</v>
      </c>
      <c r="O106" s="90">
        <f t="shared" si="23"/>
        <v>-235753727.22701621</v>
      </c>
      <c r="P106" s="90">
        <f t="shared" si="23"/>
        <v>-240593947.56560439</v>
      </c>
      <c r="Q106" s="90">
        <f t="shared" si="23"/>
        <v>-246484397.20721573</v>
      </c>
      <c r="R106" s="90">
        <f t="shared" si="23"/>
        <v>-253409642.74470139</v>
      </c>
      <c r="S106" s="90">
        <f t="shared" si="23"/>
        <v>-261367933.86104965</v>
      </c>
      <c r="T106" s="90">
        <f t="shared" si="23"/>
        <v>-270370060.31218994</v>
      </c>
      <c r="U106" s="90">
        <f t="shared" si="23"/>
        <v>-280438453.11808312</v>
      </c>
      <c r="V106" s="90">
        <f t="shared" si="23"/>
        <v>-291606499.15130997</v>
      </c>
      <c r="W106" s="90">
        <f t="shared" si="23"/>
        <v>-303918043.3996278</v>
      </c>
      <c r="X106" s="90">
        <f t="shared" si="23"/>
        <v>-317427057.54037917</v>
      </c>
      <c r="Y106" s="90">
        <f t="shared" si="23"/>
        <v>-332197457.21207368</v>
      </c>
      <c r="Z106" s="90">
        <f t="shared" si="23"/>
        <v>-348303053.59723389</v>
      </c>
    </row>
    <row r="107" spans="1:26" ht="15" hidden="1" customHeight="1" outlineLevel="1" x14ac:dyDescent="0.2">
      <c r="A107" s="89" t="s">
        <v>493</v>
      </c>
      <c r="B107" s="90">
        <f>$J$82+B106</f>
        <v>1100000000</v>
      </c>
      <c r="C107" s="90">
        <f t="shared" ref="C107:Z107" si="24">B107+C106</f>
        <v>806558122.4576</v>
      </c>
      <c r="D107" s="90">
        <f t="shared" si="24"/>
        <v>530315298.80076802</v>
      </c>
      <c r="E107" s="90">
        <f t="shared" si="24"/>
        <v>267986292.72700545</v>
      </c>
      <c r="F107" s="90">
        <f t="shared" si="24"/>
        <v>16722223.12161544</v>
      </c>
      <c r="G107" s="90">
        <f t="shared" si="24"/>
        <v>-225959403.64107323</v>
      </c>
      <c r="H107" s="90">
        <f t="shared" si="24"/>
        <v>-462234527.39531434</v>
      </c>
      <c r="I107" s="90">
        <f t="shared" si="24"/>
        <v>-694023782.87285137</v>
      </c>
      <c r="J107" s="90">
        <f t="shared" si="24"/>
        <v>-923036482.33810472</v>
      </c>
      <c r="K107" s="90">
        <f t="shared" si="24"/>
        <v>-1150808455.7776644</v>
      </c>
      <c r="L107" s="90">
        <f t="shared" si="24"/>
        <v>-1378734706.4069123</v>
      </c>
      <c r="M107" s="90">
        <f t="shared" si="24"/>
        <v>-1608097698.5038447</v>
      </c>
      <c r="N107" s="90">
        <f t="shared" si="24"/>
        <v>-1840091975.173275</v>
      </c>
      <c r="O107" s="90">
        <f t="shared" si="24"/>
        <v>-2075845702.4002912</v>
      </c>
      <c r="P107" s="90">
        <f t="shared" si="24"/>
        <v>-2316439649.9658957</v>
      </c>
      <c r="Q107" s="90">
        <f t="shared" si="24"/>
        <v>-2562924047.1731114</v>
      </c>
      <c r="R107" s="90">
        <f t="shared" si="24"/>
        <v>-2816333689.9178128</v>
      </c>
      <c r="S107" s="90">
        <f t="shared" si="24"/>
        <v>-3077701623.7788625</v>
      </c>
      <c r="T107" s="90">
        <f t="shared" si="24"/>
        <v>-3348071684.0910525</v>
      </c>
      <c r="U107" s="90">
        <f t="shared" si="24"/>
        <v>-3628510137.2091355</v>
      </c>
      <c r="V107" s="90">
        <f t="shared" si="24"/>
        <v>-3920116636.3604455</v>
      </c>
      <c r="W107" s="90">
        <f t="shared" si="24"/>
        <v>-4224034679.7600732</v>
      </c>
      <c r="X107" s="90">
        <f t="shared" si="24"/>
        <v>-4541461737.3004522</v>
      </c>
      <c r="Y107" s="90">
        <f t="shared" si="24"/>
        <v>-4873659194.5125256</v>
      </c>
      <c r="Z107" s="90">
        <f t="shared" si="24"/>
        <v>-5221962248.1097593</v>
      </c>
    </row>
    <row r="108" spans="1:26" ht="15" hidden="1" customHeight="1" outlineLevel="1" x14ac:dyDescent="0.2">
      <c r="A108" s="89" t="s">
        <v>494</v>
      </c>
      <c r="B108" s="90">
        <f>B106</f>
        <v>-400000000</v>
      </c>
      <c r="C108" s="90">
        <f t="shared" ref="C108:Z108" si="25">B108+C106</f>
        <v>-693441877.5424</v>
      </c>
      <c r="D108" s="90">
        <f t="shared" si="25"/>
        <v>-969684701.19923198</v>
      </c>
      <c r="E108" s="90">
        <f t="shared" si="25"/>
        <v>-1232013707.2729945</v>
      </c>
      <c r="F108" s="90">
        <f t="shared" si="25"/>
        <v>-1483277776.8783846</v>
      </c>
      <c r="G108" s="90">
        <f t="shared" si="25"/>
        <v>-1725959403.6410732</v>
      </c>
      <c r="H108" s="90">
        <f t="shared" si="25"/>
        <v>-1962234527.3953142</v>
      </c>
      <c r="I108" s="90">
        <f t="shared" si="25"/>
        <v>-2194023782.8728514</v>
      </c>
      <c r="J108" s="90">
        <f t="shared" si="25"/>
        <v>-2423036482.3381047</v>
      </c>
      <c r="K108" s="90">
        <f t="shared" si="25"/>
        <v>-2650808455.7776647</v>
      </c>
      <c r="L108" s="90">
        <f t="shared" si="25"/>
        <v>-2878734706.4069123</v>
      </c>
      <c r="M108" s="90">
        <f t="shared" si="25"/>
        <v>-3108097698.5038447</v>
      </c>
      <c r="N108" s="90">
        <f t="shared" si="25"/>
        <v>-3340091975.173275</v>
      </c>
      <c r="O108" s="90">
        <f t="shared" si="25"/>
        <v>-3575845702.4002914</v>
      </c>
      <c r="P108" s="90">
        <f t="shared" si="25"/>
        <v>-3816439649.9658957</v>
      </c>
      <c r="Q108" s="90">
        <f t="shared" si="25"/>
        <v>-4062924047.1731114</v>
      </c>
      <c r="R108" s="90">
        <f t="shared" si="25"/>
        <v>-4316333689.9178123</v>
      </c>
      <c r="S108" s="90">
        <f t="shared" si="25"/>
        <v>-4577701623.778862</v>
      </c>
      <c r="T108" s="90">
        <f t="shared" si="25"/>
        <v>-4848071684.0910521</v>
      </c>
      <c r="U108" s="90">
        <f t="shared" si="25"/>
        <v>-5128510137.2091351</v>
      </c>
      <c r="V108" s="90">
        <f t="shared" si="25"/>
        <v>-5420116636.360445</v>
      </c>
      <c r="W108" s="90">
        <f t="shared" si="25"/>
        <v>-5724034679.7600727</v>
      </c>
      <c r="X108" s="90">
        <f t="shared" si="25"/>
        <v>-6041461737.3004522</v>
      </c>
      <c r="Y108" s="90">
        <f t="shared" si="25"/>
        <v>-6373659194.5125256</v>
      </c>
      <c r="Z108" s="90">
        <f t="shared" si="25"/>
        <v>-6721962248.1097593</v>
      </c>
    </row>
    <row r="109" spans="1:26" ht="15" hidden="1" customHeight="1" outlineLevel="1" x14ac:dyDescent="0.2"/>
    <row r="110" spans="1:26" ht="15" hidden="1" customHeight="1" outlineLevel="1" x14ac:dyDescent="0.2">
      <c r="A110" s="89" t="s">
        <v>495</v>
      </c>
      <c r="C110" s="91">
        <f>$D$83*(1+$E$83)^0</f>
        <v>300</v>
      </c>
      <c r="D110" s="91">
        <f>$D$83*(1+$E$83)^1</f>
        <v>324</v>
      </c>
      <c r="E110" s="91">
        <f>$D$83*(1+$E$83)^2</f>
        <v>349.92</v>
      </c>
      <c r="F110" s="91">
        <f>$D$83*(1+$E$83)^3</f>
        <v>377.91360000000003</v>
      </c>
      <c r="G110" s="91">
        <f>$D$83*(1+$E$83)^4</f>
        <v>408.1466880000001</v>
      </c>
      <c r="H110" s="91">
        <f>$D$83*(1+$E$83)^5</f>
        <v>440.7984230400001</v>
      </c>
      <c r="I110" s="91">
        <f>$D$83*(1+$E$83)^6</f>
        <v>476.06229688320019</v>
      </c>
      <c r="J110" s="91">
        <f>$D$83*(1+$E$83)^7</f>
        <v>514.14728063385621</v>
      </c>
      <c r="K110" s="91">
        <f>$D$83*(1+$E$83)^8</f>
        <v>555.27906308456465</v>
      </c>
      <c r="L110" s="91">
        <f>$D$83*(1+$E$83)^9</f>
        <v>599.70138813132996</v>
      </c>
      <c r="M110" s="91">
        <f>$D$83*(1+$E$83)^10</f>
        <v>647.67749918183631</v>
      </c>
      <c r="N110" s="91">
        <f>$D$83*(1+$E$83)^11</f>
        <v>699.49169911638319</v>
      </c>
      <c r="O110" s="91">
        <f>$D$83*(1+$E$83)^12</f>
        <v>755.45103504569397</v>
      </c>
      <c r="P110" s="91">
        <f>$D$83*(1+$E$83)^13</f>
        <v>815.88711784934947</v>
      </c>
      <c r="Q110" s="91">
        <f>$D$83*(1+$E$83)^14</f>
        <v>881.15808727729757</v>
      </c>
      <c r="R110" s="91">
        <f>$D$83*(1+$E$83)^15</f>
        <v>951.65073425948151</v>
      </c>
      <c r="S110" s="91">
        <f>$D$83*(1+$E$83)^16</f>
        <v>1027.78279300024</v>
      </c>
      <c r="T110" s="91">
        <f>$D$83*(1+$E$83)^17</f>
        <v>1110.0054164402591</v>
      </c>
      <c r="U110" s="91">
        <f>$D$83*(1+$E$83)^18</f>
        <v>1198.80584975548</v>
      </c>
      <c r="V110" s="91">
        <f>$D$83*(1+$E$83)^19</f>
        <v>1294.7103177359186</v>
      </c>
      <c r="W110" s="91">
        <f>$D$83*(1+$E$83)^20</f>
        <v>1398.2871431547919</v>
      </c>
      <c r="X110" s="91">
        <f>$D$83*(1+$E$83)^21</f>
        <v>1510.1501146071753</v>
      </c>
      <c r="Y110" s="91">
        <f>$D$83*(1+$E$83)^22</f>
        <v>1630.9621237757497</v>
      </c>
      <c r="Z110" s="91">
        <f>$D$83*(1+$E$83)^23</f>
        <v>1761.4390936778095</v>
      </c>
    </row>
    <row r="111" spans="1:26" ht="15" hidden="1" customHeight="1" outlineLevel="1" x14ac:dyDescent="0.2">
      <c r="A111" s="89" t="s">
        <v>496</v>
      </c>
      <c r="B111" s="89">
        <v>0</v>
      </c>
      <c r="C111" s="91">
        <f t="shared" ref="C111:Z111" si="26">B111*(1-$F$83)+C110</f>
        <v>300</v>
      </c>
      <c r="D111" s="91">
        <f t="shared" si="26"/>
        <v>570</v>
      </c>
      <c r="E111" s="91">
        <f t="shared" si="26"/>
        <v>817.32</v>
      </c>
      <c r="F111" s="91">
        <f t="shared" si="26"/>
        <v>1048.1160000000002</v>
      </c>
      <c r="G111" s="91">
        <f t="shared" si="26"/>
        <v>1267.6018080000003</v>
      </c>
      <c r="H111" s="91">
        <f t="shared" si="26"/>
        <v>1480.2319056000006</v>
      </c>
      <c r="I111" s="91">
        <f t="shared" si="26"/>
        <v>1689.8524594752007</v>
      </c>
      <c r="J111" s="91">
        <f t="shared" si="26"/>
        <v>1899.826297403521</v>
      </c>
      <c r="K111" s="91">
        <f t="shared" si="26"/>
        <v>2113.1366269554519</v>
      </c>
      <c r="L111" s="91">
        <f t="shared" si="26"/>
        <v>2332.4734222348006</v>
      </c>
      <c r="M111" s="91">
        <f t="shared" si="26"/>
        <v>2560.3057054143728</v>
      </c>
      <c r="N111" s="91">
        <f t="shared" si="26"/>
        <v>2798.942377556169</v>
      </c>
      <c r="O111" s="91">
        <f t="shared" si="26"/>
        <v>3050.5837846417526</v>
      </c>
      <c r="P111" s="91">
        <f t="shared" si="26"/>
        <v>3317.365821255587</v>
      </c>
      <c r="Q111" s="91">
        <f t="shared" si="26"/>
        <v>3601.3980607068788</v>
      </c>
      <c r="R111" s="91">
        <f t="shared" si="26"/>
        <v>3904.797144039122</v>
      </c>
      <c r="S111" s="91">
        <f t="shared" si="26"/>
        <v>4229.7164511123201</v>
      </c>
      <c r="T111" s="91">
        <f t="shared" si="26"/>
        <v>4578.3729063523624</v>
      </c>
      <c r="U111" s="91">
        <f t="shared" si="26"/>
        <v>4953.0716329644174</v>
      </c>
      <c r="V111" s="91">
        <f t="shared" si="26"/>
        <v>5356.2290567667405</v>
      </c>
      <c r="W111" s="91">
        <f t="shared" si="26"/>
        <v>5790.3949697035196</v>
      </c>
      <c r="X111" s="91">
        <f t="shared" si="26"/>
        <v>6258.2739897640613</v>
      </c>
      <c r="Y111" s="91">
        <f t="shared" si="26"/>
        <v>6762.7467953822797</v>
      </c>
      <c r="Z111" s="91">
        <f t="shared" si="26"/>
        <v>7306.8914658912799</v>
      </c>
    </row>
    <row r="112" spans="1:26" ht="15" hidden="1" customHeight="1" outlineLevel="1" x14ac:dyDescent="0.2">
      <c r="A112" s="89" t="s">
        <v>497</v>
      </c>
      <c r="B112" s="90">
        <f>-$I$83</f>
        <v>-400000000</v>
      </c>
      <c r="C112" s="90">
        <f t="shared" ref="C112:Z112" si="27">C111*($B$83-$C$83)-C110*$G$83-$H$83</f>
        <v>-292559897.95200002</v>
      </c>
      <c r="D112" s="90">
        <f t="shared" si="27"/>
        <v>-275663806.10879999</v>
      </c>
      <c r="E112" s="90">
        <f t="shared" si="27"/>
        <v>-262942185.98042881</v>
      </c>
      <c r="F112" s="90">
        <f t="shared" si="27"/>
        <v>-253734286.67286146</v>
      </c>
      <c r="G112" s="90">
        <f t="shared" si="27"/>
        <v>-247505544.77416903</v>
      </c>
      <c r="H112" s="90">
        <f t="shared" si="27"/>
        <v>-243825450.79343501</v>
      </c>
      <c r="I112" s="90">
        <f t="shared" si="27"/>
        <v>-242349446.05552244</v>
      </c>
      <c r="J112" s="90">
        <f t="shared" si="27"/>
        <v>-242804128.28282663</v>
      </c>
      <c r="K112" s="90">
        <f t="shared" si="27"/>
        <v>-244975174.31059983</v>
      </c>
      <c r="L112" s="90">
        <f t="shared" si="27"/>
        <v>-248697495.18286854</v>
      </c>
      <c r="M112" s="90">
        <f t="shared" si="27"/>
        <v>-253847226.477983</v>
      </c>
      <c r="N112" s="90">
        <f t="shared" si="27"/>
        <v>-260335228.57421923</v>
      </c>
      <c r="O112" s="90">
        <f t="shared" si="27"/>
        <v>-268101830.52211487</v>
      </c>
      <c r="P112" s="90">
        <f t="shared" si="27"/>
        <v>-277112599.56668961</v>
      </c>
      <c r="Q112" s="90">
        <f t="shared" si="27"/>
        <v>-287354958.06632555</v>
      </c>
      <c r="R112" s="90">
        <f t="shared" si="27"/>
        <v>-298835502.1497581</v>
      </c>
      <c r="S112" s="90">
        <f t="shared" si="27"/>
        <v>-311577903.22100246</v>
      </c>
      <c r="T112" s="90">
        <f t="shared" si="27"/>
        <v>-325621295.41607869</v>
      </c>
      <c r="U112" s="90">
        <f t="shared" si="27"/>
        <v>-341019070.19803011</v>
      </c>
      <c r="V112" s="90">
        <f t="shared" si="27"/>
        <v>-357838014.15577793</v>
      </c>
      <c r="W112" s="90">
        <f t="shared" si="27"/>
        <v>-376157738.32860231</v>
      </c>
      <c r="X112" s="90">
        <f t="shared" si="27"/>
        <v>-396070357.48798752</v>
      </c>
      <c r="Y112" s="90">
        <f t="shared" si="27"/>
        <v>-417680386.16336632</v>
      </c>
      <c r="Z112" s="90">
        <f t="shared" si="27"/>
        <v>-441104825.11903393</v>
      </c>
    </row>
    <row r="113" spans="1:26" ht="15" hidden="1" customHeight="1" outlineLevel="1" x14ac:dyDescent="0.2">
      <c r="A113" s="89" t="s">
        <v>498</v>
      </c>
      <c r="B113" s="90">
        <f>$J$83+B112</f>
        <v>1100000000</v>
      </c>
      <c r="C113" s="90">
        <f t="shared" ref="C113:Z113" si="28">B113+C112</f>
        <v>807440102.04799998</v>
      </c>
      <c r="D113" s="90">
        <f t="shared" si="28"/>
        <v>531776295.93919998</v>
      </c>
      <c r="E113" s="90">
        <f t="shared" si="28"/>
        <v>268834109.95877117</v>
      </c>
      <c r="F113" s="90">
        <f t="shared" si="28"/>
        <v>15099823.285909712</v>
      </c>
      <c r="G113" s="90">
        <f t="shared" si="28"/>
        <v>-232405721.48825932</v>
      </c>
      <c r="H113" s="90">
        <f t="shared" si="28"/>
        <v>-476231172.28169429</v>
      </c>
      <c r="I113" s="90">
        <f t="shared" si="28"/>
        <v>-718580618.33721673</v>
      </c>
      <c r="J113" s="90">
        <f t="shared" si="28"/>
        <v>-961384746.6200434</v>
      </c>
      <c r="K113" s="90">
        <f t="shared" si="28"/>
        <v>-1206359920.9306433</v>
      </c>
      <c r="L113" s="90">
        <f t="shared" si="28"/>
        <v>-1455057416.1135118</v>
      </c>
      <c r="M113" s="90">
        <f t="shared" si="28"/>
        <v>-1708904642.5914948</v>
      </c>
      <c r="N113" s="90">
        <f t="shared" si="28"/>
        <v>-1969239871.165714</v>
      </c>
      <c r="O113" s="90">
        <f t="shared" si="28"/>
        <v>-2237341701.687829</v>
      </c>
      <c r="P113" s="90">
        <f t="shared" si="28"/>
        <v>-2514454301.2545185</v>
      </c>
      <c r="Q113" s="90">
        <f t="shared" si="28"/>
        <v>-2801809259.3208442</v>
      </c>
      <c r="R113" s="90">
        <f t="shared" si="28"/>
        <v>-3100644761.470602</v>
      </c>
      <c r="S113" s="90">
        <f t="shared" si="28"/>
        <v>-3412222664.6916046</v>
      </c>
      <c r="T113" s="90">
        <f t="shared" si="28"/>
        <v>-3737843960.1076832</v>
      </c>
      <c r="U113" s="90">
        <f t="shared" si="28"/>
        <v>-4078863030.3057132</v>
      </c>
      <c r="V113" s="90">
        <f t="shared" si="28"/>
        <v>-4436701044.4614906</v>
      </c>
      <c r="W113" s="90">
        <f t="shared" si="28"/>
        <v>-4812858782.7900925</v>
      </c>
      <c r="X113" s="90">
        <f t="shared" si="28"/>
        <v>-5208929140.27808</v>
      </c>
      <c r="Y113" s="90">
        <f t="shared" si="28"/>
        <v>-5626609526.4414463</v>
      </c>
      <c r="Z113" s="90">
        <f t="shared" si="28"/>
        <v>-6067714351.5604801</v>
      </c>
    </row>
    <row r="114" spans="1:26" ht="15" hidden="1" customHeight="1" outlineLevel="1" x14ac:dyDescent="0.2">
      <c r="A114" s="89" t="s">
        <v>499</v>
      </c>
      <c r="B114" s="90">
        <f>B112</f>
        <v>-400000000</v>
      </c>
      <c r="C114" s="90">
        <f t="shared" ref="C114:Z114" si="29">B114+C112</f>
        <v>-692559897.95200002</v>
      </c>
      <c r="D114" s="90">
        <f t="shared" si="29"/>
        <v>-968223704.06080008</v>
      </c>
      <c r="E114" s="90">
        <f t="shared" si="29"/>
        <v>-1231165890.0412288</v>
      </c>
      <c r="F114" s="90">
        <f t="shared" si="29"/>
        <v>-1484900176.7140903</v>
      </c>
      <c r="G114" s="90">
        <f t="shared" si="29"/>
        <v>-1732405721.4882593</v>
      </c>
      <c r="H114" s="90">
        <f t="shared" si="29"/>
        <v>-1976231172.2816944</v>
      </c>
      <c r="I114" s="90">
        <f t="shared" si="29"/>
        <v>-2218580618.3372169</v>
      </c>
      <c r="J114" s="90">
        <f t="shared" si="29"/>
        <v>-2461384746.6200433</v>
      </c>
      <c r="K114" s="90">
        <f t="shared" si="29"/>
        <v>-2706359920.9306431</v>
      </c>
      <c r="L114" s="90">
        <f t="shared" si="29"/>
        <v>-2955057416.1135116</v>
      </c>
      <c r="M114" s="90">
        <f t="shared" si="29"/>
        <v>-3208904642.5914946</v>
      </c>
      <c r="N114" s="90">
        <f t="shared" si="29"/>
        <v>-3469239871.1657138</v>
      </c>
      <c r="O114" s="90">
        <f t="shared" si="29"/>
        <v>-3737341701.6878285</v>
      </c>
      <c r="P114" s="90">
        <f t="shared" si="29"/>
        <v>-4014454301.254518</v>
      </c>
      <c r="Q114" s="90">
        <f t="shared" si="29"/>
        <v>-4301809259.3208437</v>
      </c>
      <c r="R114" s="90">
        <f t="shared" si="29"/>
        <v>-4600644761.470602</v>
      </c>
      <c r="S114" s="90">
        <f t="shared" si="29"/>
        <v>-4912222664.6916046</v>
      </c>
      <c r="T114" s="90">
        <f t="shared" si="29"/>
        <v>-5237843960.1076832</v>
      </c>
      <c r="U114" s="90">
        <f t="shared" si="29"/>
        <v>-5578863030.3057137</v>
      </c>
      <c r="V114" s="90">
        <f t="shared" si="29"/>
        <v>-5936701044.4614916</v>
      </c>
      <c r="W114" s="90">
        <f t="shared" si="29"/>
        <v>-6312858782.7900944</v>
      </c>
      <c r="X114" s="90">
        <f t="shared" si="29"/>
        <v>-6708929140.2780819</v>
      </c>
      <c r="Y114" s="90">
        <f t="shared" si="29"/>
        <v>-7126609526.4414482</v>
      </c>
      <c r="Z114" s="90">
        <f t="shared" si="29"/>
        <v>-7567714351.560482</v>
      </c>
    </row>
    <row r="115" spans="1:26" ht="15" hidden="1" customHeight="1" outlineLevel="1" x14ac:dyDescent="0.2"/>
    <row r="116" spans="1:26" ht="15" hidden="1" customHeight="1" outlineLevel="1" x14ac:dyDescent="0.2">
      <c r="A116" s="89" t="s">
        <v>500</v>
      </c>
      <c r="C116" s="91">
        <f>$D$84*(1+$E$84)^0</f>
        <v>300</v>
      </c>
      <c r="D116" s="91">
        <f>$D$84*(1+$E$84)^1</f>
        <v>324</v>
      </c>
      <c r="E116" s="91">
        <f>$D$84*(1+$E$84)^2</f>
        <v>349.92</v>
      </c>
      <c r="F116" s="91">
        <f>$D$84*(1+$E$84)^3</f>
        <v>377.91360000000003</v>
      </c>
      <c r="G116" s="91">
        <f>$D$84*(1+$E$84)^4</f>
        <v>408.1466880000001</v>
      </c>
      <c r="H116" s="91">
        <f>$D$84*(1+$E$84)^5</f>
        <v>440.7984230400001</v>
      </c>
      <c r="I116" s="91">
        <f>$D$84*(1+$E$84)^6</f>
        <v>476.06229688320019</v>
      </c>
      <c r="J116" s="91">
        <f>$D$84*(1+$E$84)^7</f>
        <v>514.14728063385621</v>
      </c>
      <c r="K116" s="91">
        <f>$D$84*(1+$E$84)^8</f>
        <v>555.27906308456465</v>
      </c>
      <c r="L116" s="91">
        <f>$D$84*(1+$E$84)^9</f>
        <v>599.70138813132996</v>
      </c>
      <c r="M116" s="91">
        <f>$D$84*(1+$E$84)^10</f>
        <v>647.67749918183631</v>
      </c>
      <c r="N116" s="91">
        <f>$D$84*(1+$E$84)^11</f>
        <v>699.49169911638319</v>
      </c>
      <c r="O116" s="91">
        <f>$D$84*(1+$E$84)^12</f>
        <v>755.45103504569397</v>
      </c>
      <c r="P116" s="91">
        <f>$D$84*(1+$E$84)^13</f>
        <v>815.88711784934947</v>
      </c>
      <c r="Q116" s="91">
        <f>$D$84*(1+$E$84)^14</f>
        <v>881.15808727729757</v>
      </c>
      <c r="R116" s="91">
        <f>$D$84*(1+$E$84)^15</f>
        <v>951.65073425948151</v>
      </c>
      <c r="S116" s="91">
        <f>$D$84*(1+$E$84)^16</f>
        <v>1027.78279300024</v>
      </c>
      <c r="T116" s="91">
        <f>$D$84*(1+$E$84)^17</f>
        <v>1110.0054164402591</v>
      </c>
      <c r="U116" s="91">
        <f>$D$84*(1+$E$84)^18</f>
        <v>1198.80584975548</v>
      </c>
      <c r="V116" s="91">
        <f>$D$84*(1+$E$84)^19</f>
        <v>1294.7103177359186</v>
      </c>
      <c r="W116" s="91">
        <f>$D$84*(1+$E$84)^20</f>
        <v>1398.2871431547919</v>
      </c>
      <c r="X116" s="91">
        <f>$D$84*(1+$E$84)^21</f>
        <v>1510.1501146071753</v>
      </c>
      <c r="Y116" s="91">
        <f>$D$84*(1+$E$84)^22</f>
        <v>1630.9621237757497</v>
      </c>
      <c r="Z116" s="91">
        <f>$D$84*(1+$E$84)^23</f>
        <v>1761.4390936778095</v>
      </c>
    </row>
    <row r="117" spans="1:26" ht="15" hidden="1" customHeight="1" outlineLevel="1" x14ac:dyDescent="0.2">
      <c r="A117" s="89" t="s">
        <v>501</v>
      </c>
      <c r="B117" s="89">
        <v>0</v>
      </c>
      <c r="C117" s="91">
        <f t="shared" ref="C117:Z117" si="30">B117*(1-$F$84)+C116</f>
        <v>300</v>
      </c>
      <c r="D117" s="91">
        <f t="shared" si="30"/>
        <v>579</v>
      </c>
      <c r="E117" s="91">
        <f t="shared" si="30"/>
        <v>842.06999999999994</v>
      </c>
      <c r="F117" s="91">
        <f t="shared" si="30"/>
        <v>1093.6731</v>
      </c>
      <c r="G117" s="91">
        <f t="shared" si="30"/>
        <v>1337.7688230000001</v>
      </c>
      <c r="H117" s="91">
        <f t="shared" si="30"/>
        <v>1577.9019225900001</v>
      </c>
      <c r="I117" s="91">
        <f t="shared" si="30"/>
        <v>1817.2789310847002</v>
      </c>
      <c r="J117" s="91">
        <f t="shared" si="30"/>
        <v>2058.8343720558514</v>
      </c>
      <c r="K117" s="91">
        <f t="shared" si="30"/>
        <v>2305.2882793320382</v>
      </c>
      <c r="L117" s="91">
        <f t="shared" si="30"/>
        <v>2559.1964255635626</v>
      </c>
      <c r="M117" s="91">
        <f t="shared" si="30"/>
        <v>2822.9944609108643</v>
      </c>
      <c r="N117" s="91">
        <f t="shared" si="30"/>
        <v>3099.0369908906177</v>
      </c>
      <c r="O117" s="91">
        <f t="shared" si="30"/>
        <v>3389.6324773027191</v>
      </c>
      <c r="P117" s="91">
        <f t="shared" si="30"/>
        <v>3697.0747235566605</v>
      </c>
      <c r="Q117" s="91">
        <f t="shared" si="30"/>
        <v>4023.6716023004587</v>
      </c>
      <c r="R117" s="91">
        <f t="shared" si="30"/>
        <v>4371.7715962148714</v>
      </c>
      <c r="S117" s="91">
        <f t="shared" si="30"/>
        <v>4743.7886497828804</v>
      </c>
      <c r="T117" s="91">
        <f t="shared" si="30"/>
        <v>5142.2257687557067</v>
      </c>
      <c r="U117" s="91">
        <f t="shared" si="30"/>
        <v>5569.6977531978309</v>
      </c>
      <c r="V117" s="91">
        <f t="shared" si="30"/>
        <v>6028.9534079540745</v>
      </c>
      <c r="W117" s="91">
        <f t="shared" si="30"/>
        <v>6522.8975399157553</v>
      </c>
      <c r="X117" s="91">
        <f t="shared" si="30"/>
        <v>7054.6130235355668</v>
      </c>
      <c r="Y117" s="91">
        <f t="shared" si="30"/>
        <v>7627.3831937809809</v>
      </c>
      <c r="Z117" s="91">
        <f t="shared" si="30"/>
        <v>8244.7148083916436</v>
      </c>
    </row>
    <row r="118" spans="1:26" ht="15" hidden="1" customHeight="1" outlineLevel="1" x14ac:dyDescent="0.2">
      <c r="A118" s="89" t="s">
        <v>502</v>
      </c>
      <c r="B118" s="90">
        <f>-$I$84</f>
        <v>-400000000</v>
      </c>
      <c r="C118" s="90">
        <f t="shared" ref="C118:Z118" si="31">C117*($B$84-$C$84)-C116*$G$84-$H$84</f>
        <v>-334559897.95200002</v>
      </c>
      <c r="D118" s="90">
        <f t="shared" si="31"/>
        <v>-319900603.04736</v>
      </c>
      <c r="E118" s="90">
        <f t="shared" si="31"/>
        <v>-308842177.56146884</v>
      </c>
      <c r="F118" s="90">
        <f t="shared" si="31"/>
        <v>-300956649.09615833</v>
      </c>
      <c r="G118" s="90">
        <f t="shared" si="31"/>
        <v>-295889213.75415725</v>
      </c>
      <c r="H118" s="90">
        <f t="shared" si="31"/>
        <v>-293347978.67525005</v>
      </c>
      <c r="I118" s="90">
        <f t="shared" si="31"/>
        <v>-293095300.61691642</v>
      </c>
      <c r="J118" s="90">
        <f t="shared" si="31"/>
        <v>-294940485.76676899</v>
      </c>
      <c r="K118" s="90">
        <f t="shared" si="31"/>
        <v>-298733651.56353486</v>
      </c>
      <c r="L118" s="90">
        <f t="shared" si="31"/>
        <v>-304360581.58372849</v>
      </c>
      <c r="M118" s="90">
        <f t="shared" si="31"/>
        <v>-311738430.32127082</v>
      </c>
      <c r="N118" s="90">
        <f t="shared" si="31"/>
        <v>-320812156.62618995</v>
      </c>
      <c r="O118" s="90">
        <f t="shared" si="31"/>
        <v>-331551583.25362021</v>
      </c>
      <c r="P118" s="90">
        <f t="shared" si="31"/>
        <v>-343948995.89664435</v>
      </c>
      <c r="Q118" s="90">
        <f t="shared" si="31"/>
        <v>-358017208.65370053</v>
      </c>
      <c r="R118" s="90">
        <f t="shared" si="31"/>
        <v>-373788034.46852243</v>
      </c>
      <c r="S118" s="90">
        <f t="shared" si="31"/>
        <v>-391311108.98015106</v>
      </c>
      <c r="T118" s="90">
        <f t="shared" si="31"/>
        <v>-410653024.68958807</v>
      </c>
      <c r="U118" s="90">
        <f t="shared" si="31"/>
        <v>-431896739.60712624</v>
      </c>
      <c r="V118" s="90">
        <f t="shared" si="31"/>
        <v>-455141230.77671194</v>
      </c>
      <c r="W118" s="90">
        <f t="shared" si="31"/>
        <v>-480501368.43971193</v>
      </c>
      <c r="X118" s="90">
        <f t="shared" si="31"/>
        <v>-508107991.23562241</v>
      </c>
      <c r="Y118" s="90">
        <f t="shared" si="31"/>
        <v>-538108166.85709608</v>
      </c>
      <c r="Z118" s="90">
        <f t="shared" si="31"/>
        <v>-570665626.07989359</v>
      </c>
    </row>
    <row r="119" spans="1:26" ht="15" hidden="1" customHeight="1" outlineLevel="1" x14ac:dyDescent="0.2">
      <c r="A119" s="89" t="s">
        <v>503</v>
      </c>
      <c r="B119" s="90">
        <f>$J$84+B118</f>
        <v>1100000000</v>
      </c>
      <c r="C119" s="90">
        <f t="shared" ref="C119:Z119" si="32">B119+C118</f>
        <v>765440102.04799998</v>
      </c>
      <c r="D119" s="90">
        <f t="shared" si="32"/>
        <v>445539499.00063998</v>
      </c>
      <c r="E119" s="90">
        <f t="shared" si="32"/>
        <v>136697321.43917114</v>
      </c>
      <c r="F119" s="90">
        <f t="shared" si="32"/>
        <v>-164259327.65698719</v>
      </c>
      <c r="G119" s="90">
        <f t="shared" si="32"/>
        <v>-460148541.41114444</v>
      </c>
      <c r="H119" s="90">
        <f t="shared" si="32"/>
        <v>-753496520.08639455</v>
      </c>
      <c r="I119" s="90">
        <f t="shared" si="32"/>
        <v>-1046591820.703311</v>
      </c>
      <c r="J119" s="90">
        <f t="shared" si="32"/>
        <v>-1341532306.4700799</v>
      </c>
      <c r="K119" s="90">
        <f t="shared" si="32"/>
        <v>-1640265958.0336146</v>
      </c>
      <c r="L119" s="90">
        <f t="shared" si="32"/>
        <v>-1944626539.6173432</v>
      </c>
      <c r="M119" s="90">
        <f t="shared" si="32"/>
        <v>-2256364969.9386139</v>
      </c>
      <c r="N119" s="90">
        <f t="shared" si="32"/>
        <v>-2577177126.5648041</v>
      </c>
      <c r="O119" s="90">
        <f t="shared" si="32"/>
        <v>-2908728709.8184242</v>
      </c>
      <c r="P119" s="90">
        <f t="shared" si="32"/>
        <v>-3252677705.7150688</v>
      </c>
      <c r="Q119" s="90">
        <f t="shared" si="32"/>
        <v>-3610694914.3687692</v>
      </c>
      <c r="R119" s="90">
        <f t="shared" si="32"/>
        <v>-3984482948.8372917</v>
      </c>
      <c r="S119" s="90">
        <f t="shared" si="32"/>
        <v>-4375794057.8174429</v>
      </c>
      <c r="T119" s="90">
        <f t="shared" si="32"/>
        <v>-4786447082.5070305</v>
      </c>
      <c r="U119" s="90">
        <f t="shared" si="32"/>
        <v>-5218343822.1141567</v>
      </c>
      <c r="V119" s="90">
        <f t="shared" si="32"/>
        <v>-5673485052.8908691</v>
      </c>
      <c r="W119" s="90">
        <f t="shared" si="32"/>
        <v>-6153986421.3305807</v>
      </c>
      <c r="X119" s="90">
        <f t="shared" si="32"/>
        <v>-6662094412.5662031</v>
      </c>
      <c r="Y119" s="90">
        <f t="shared" si="32"/>
        <v>-7200202579.4232988</v>
      </c>
      <c r="Z119" s="90">
        <f t="shared" si="32"/>
        <v>-7770868205.5031929</v>
      </c>
    </row>
    <row r="120" spans="1:26" ht="15" hidden="1" customHeight="1" outlineLevel="1" x14ac:dyDescent="0.2">
      <c r="A120" s="89" t="s">
        <v>504</v>
      </c>
      <c r="B120" s="90">
        <f>B118</f>
        <v>-400000000</v>
      </c>
      <c r="C120" s="90">
        <f t="shared" ref="C120:Z120" si="33">B120+C118</f>
        <v>-734559897.95200002</v>
      </c>
      <c r="D120" s="90">
        <f t="shared" si="33"/>
        <v>-1054460500.9993601</v>
      </c>
      <c r="E120" s="90">
        <f t="shared" si="33"/>
        <v>-1363302678.5608289</v>
      </c>
      <c r="F120" s="90">
        <f t="shared" si="33"/>
        <v>-1664259327.6569872</v>
      </c>
      <c r="G120" s="90">
        <f t="shared" si="33"/>
        <v>-1960148541.4111445</v>
      </c>
      <c r="H120" s="90">
        <f t="shared" si="33"/>
        <v>-2253496520.0863943</v>
      </c>
      <c r="I120" s="90">
        <f t="shared" si="33"/>
        <v>-2546591820.703311</v>
      </c>
      <c r="J120" s="90">
        <f t="shared" si="33"/>
        <v>-2841532306.4700799</v>
      </c>
      <c r="K120" s="90">
        <f t="shared" si="33"/>
        <v>-3140265958.0336146</v>
      </c>
      <c r="L120" s="90">
        <f t="shared" si="33"/>
        <v>-3444626539.6173429</v>
      </c>
      <c r="M120" s="90">
        <f t="shared" si="33"/>
        <v>-3756364969.9386139</v>
      </c>
      <c r="N120" s="90">
        <f t="shared" si="33"/>
        <v>-4077177126.5648041</v>
      </c>
      <c r="O120" s="90">
        <f t="shared" si="33"/>
        <v>-4408728709.8184242</v>
      </c>
      <c r="P120" s="90">
        <f t="shared" si="33"/>
        <v>-4752677705.7150688</v>
      </c>
      <c r="Q120" s="90">
        <f t="shared" si="33"/>
        <v>-5110694914.3687696</v>
      </c>
      <c r="R120" s="90">
        <f t="shared" si="33"/>
        <v>-5484482948.8372917</v>
      </c>
      <c r="S120" s="90">
        <f t="shared" si="33"/>
        <v>-5875794057.8174429</v>
      </c>
      <c r="T120" s="90">
        <f t="shared" si="33"/>
        <v>-6286447082.5070305</v>
      </c>
      <c r="U120" s="90">
        <f t="shared" si="33"/>
        <v>-6718343822.1141567</v>
      </c>
      <c r="V120" s="90">
        <f t="shared" si="33"/>
        <v>-7173485052.8908691</v>
      </c>
      <c r="W120" s="90">
        <f t="shared" si="33"/>
        <v>-7653986421.3305807</v>
      </c>
      <c r="X120" s="90">
        <f t="shared" si="33"/>
        <v>-8162094412.5662031</v>
      </c>
      <c r="Y120" s="90">
        <f t="shared" si="33"/>
        <v>-8700202579.4232998</v>
      </c>
      <c r="Z120" s="90">
        <f t="shared" si="33"/>
        <v>-9270868205.5031929</v>
      </c>
    </row>
    <row r="121" spans="1:26" ht="15" hidden="1" customHeight="1" outlineLevel="1" x14ac:dyDescent="0.2"/>
    <row r="122" spans="1:26" ht="15" hidden="1" customHeight="1" outlineLevel="1" x14ac:dyDescent="0.2">
      <c r="A122" s="89" t="s">
        <v>505</v>
      </c>
      <c r="C122" s="91">
        <f>$D$85*(1+$E$85)^0</f>
        <v>240</v>
      </c>
      <c r="D122" s="91">
        <f>$D$85*(1+$E$85)^1</f>
        <v>259.20000000000005</v>
      </c>
      <c r="E122" s="91">
        <f>$D$85*(1+$E$85)^2</f>
        <v>279.93600000000004</v>
      </c>
      <c r="F122" s="91">
        <f>$D$85*(1+$E$85)^3</f>
        <v>302.33088000000004</v>
      </c>
      <c r="G122" s="91">
        <f>$D$85*(1+$E$85)^4</f>
        <v>326.51735040000005</v>
      </c>
      <c r="H122" s="91">
        <f>$D$85*(1+$E$85)^5</f>
        <v>352.63873843200008</v>
      </c>
      <c r="I122" s="91">
        <f>$D$85*(1+$E$85)^6</f>
        <v>380.84983750656011</v>
      </c>
      <c r="J122" s="91">
        <f>$D$85*(1+$E$85)^7</f>
        <v>411.31782450708494</v>
      </c>
      <c r="K122" s="91">
        <f>$D$85*(1+$E$85)^8</f>
        <v>444.22325046765178</v>
      </c>
      <c r="L122" s="91">
        <f>$D$85*(1+$E$85)^9</f>
        <v>479.76111050506393</v>
      </c>
      <c r="M122" s="91">
        <f>$D$85*(1+$E$85)^10</f>
        <v>518.141999345469</v>
      </c>
      <c r="N122" s="91">
        <f>$D$85*(1+$E$85)^11</f>
        <v>559.59335929310657</v>
      </c>
      <c r="O122" s="91">
        <f>$D$85*(1+$E$85)^12</f>
        <v>604.36082803655518</v>
      </c>
      <c r="P122" s="91">
        <f>$D$85*(1+$E$85)^13</f>
        <v>652.70969427947955</v>
      </c>
      <c r="Q122" s="91">
        <f>$D$85*(1+$E$85)^14</f>
        <v>704.92646982183805</v>
      </c>
      <c r="R122" s="91">
        <f>$D$85*(1+$E$85)^15</f>
        <v>761.32058740758521</v>
      </c>
      <c r="S122" s="91">
        <f>$D$85*(1+$E$85)^16</f>
        <v>822.22623440019197</v>
      </c>
      <c r="T122" s="91">
        <f>$D$85*(1+$E$85)^17</f>
        <v>888.00433315220732</v>
      </c>
      <c r="U122" s="91">
        <f>$D$85*(1+$E$85)^18</f>
        <v>959.04467980438403</v>
      </c>
      <c r="V122" s="91">
        <f>$D$85*(1+$E$85)^19</f>
        <v>1035.7682541887348</v>
      </c>
      <c r="W122" s="91">
        <f>$D$85*(1+$E$85)^20</f>
        <v>1118.6297145238336</v>
      </c>
      <c r="X122" s="91">
        <f>$D$85*(1+$E$85)^21</f>
        <v>1208.1200916857404</v>
      </c>
      <c r="Y122" s="91">
        <f>$D$85*(1+$E$85)^22</f>
        <v>1304.7696990205998</v>
      </c>
      <c r="Z122" s="91">
        <f>$D$85*(1+$E$85)^23</f>
        <v>1409.1512749422477</v>
      </c>
    </row>
    <row r="123" spans="1:26" ht="15" hidden="1" customHeight="1" outlineLevel="1" x14ac:dyDescent="0.2">
      <c r="A123" s="89" t="s">
        <v>506</v>
      </c>
      <c r="B123" s="89">
        <v>0</v>
      </c>
      <c r="C123" s="91">
        <f t="shared" ref="C123:Z123" si="34">B123*(1-$F$85)+C122</f>
        <v>240</v>
      </c>
      <c r="D123" s="91">
        <f t="shared" si="34"/>
        <v>463.20000000000005</v>
      </c>
      <c r="E123" s="91">
        <f t="shared" si="34"/>
        <v>673.65600000000006</v>
      </c>
      <c r="F123" s="91">
        <f t="shared" si="34"/>
        <v>874.93848000000003</v>
      </c>
      <c r="G123" s="91">
        <f t="shared" si="34"/>
        <v>1070.2150584000001</v>
      </c>
      <c r="H123" s="91">
        <f t="shared" si="34"/>
        <v>1262.3215380720003</v>
      </c>
      <c r="I123" s="91">
        <f t="shared" si="34"/>
        <v>1453.8231448677602</v>
      </c>
      <c r="J123" s="91">
        <f t="shared" si="34"/>
        <v>1647.067497644681</v>
      </c>
      <c r="K123" s="91">
        <f t="shared" si="34"/>
        <v>1844.2306234656305</v>
      </c>
      <c r="L123" s="91">
        <f t="shared" si="34"/>
        <v>2047.3571404508498</v>
      </c>
      <c r="M123" s="91">
        <f t="shared" si="34"/>
        <v>2258.3955687286916</v>
      </c>
      <c r="N123" s="91">
        <f t="shared" si="34"/>
        <v>2479.2295927124942</v>
      </c>
      <c r="O123" s="91">
        <f t="shared" si="34"/>
        <v>2711.7059818421753</v>
      </c>
      <c r="P123" s="91">
        <f t="shared" si="34"/>
        <v>2957.6597788453287</v>
      </c>
      <c r="Q123" s="91">
        <f t="shared" si="34"/>
        <v>3218.9372818403672</v>
      </c>
      <c r="R123" s="91">
        <f t="shared" si="34"/>
        <v>3497.4172769718971</v>
      </c>
      <c r="S123" s="91">
        <f t="shared" si="34"/>
        <v>3795.0309198263044</v>
      </c>
      <c r="T123" s="91">
        <f t="shared" si="34"/>
        <v>4113.7806150045662</v>
      </c>
      <c r="U123" s="91">
        <f t="shared" si="34"/>
        <v>4455.7582025582651</v>
      </c>
      <c r="V123" s="91">
        <f t="shared" si="34"/>
        <v>4823.1627263632599</v>
      </c>
      <c r="W123" s="91">
        <f t="shared" si="34"/>
        <v>5218.3180319326038</v>
      </c>
      <c r="X123" s="91">
        <f t="shared" si="34"/>
        <v>5643.6904188284534</v>
      </c>
      <c r="Y123" s="91">
        <f t="shared" si="34"/>
        <v>6101.9065550247851</v>
      </c>
      <c r="Z123" s="91">
        <f t="shared" si="34"/>
        <v>6595.7718467133145</v>
      </c>
    </row>
    <row r="124" spans="1:26" ht="15" hidden="1" customHeight="1" outlineLevel="1" x14ac:dyDescent="0.2">
      <c r="A124" s="89" t="s">
        <v>507</v>
      </c>
      <c r="B124" s="90">
        <f>-$I$85</f>
        <v>-400000000</v>
      </c>
      <c r="C124" s="90">
        <f t="shared" ref="C124:Z124" si="35">C123*($B$85-$C$85)-C122*$G$85-$H$85</f>
        <v>-258047918.36160001</v>
      </c>
      <c r="D124" s="90">
        <f t="shared" si="35"/>
        <v>-243632482.43788803</v>
      </c>
      <c r="E124" s="90">
        <f t="shared" si="35"/>
        <v>-231882702.04917508</v>
      </c>
      <c r="F124" s="90">
        <f t="shared" si="35"/>
        <v>-222438996.07692668</v>
      </c>
      <c r="G124" s="90">
        <f t="shared" si="35"/>
        <v>-214998941.94732577</v>
      </c>
      <c r="H124" s="90">
        <f t="shared" si="35"/>
        <v>-209308959.55972004</v>
      </c>
      <c r="I124" s="90">
        <f t="shared" si="35"/>
        <v>-205157263.24261463</v>
      </c>
      <c r="J124" s="90">
        <f t="shared" si="35"/>
        <v>-202367893.18242326</v>
      </c>
      <c r="K124" s="90">
        <f t="shared" si="35"/>
        <v>-200795666.18535668</v>
      </c>
      <c r="L124" s="90">
        <f t="shared" si="35"/>
        <v>-200321909.79627383</v>
      </c>
      <c r="M124" s="90">
        <f t="shared" si="35"/>
        <v>-200850864.34865093</v>
      </c>
      <c r="N124" s="90">
        <f t="shared" si="35"/>
        <v>-202306654.99991709</v>
      </c>
      <c r="O124" s="90">
        <f t="shared" si="35"/>
        <v>-204630750.67777836</v>
      </c>
      <c r="P124" s="90">
        <f t="shared" si="35"/>
        <v>-207779839.5181883</v>
      </c>
      <c r="Q124" s="90">
        <f t="shared" si="35"/>
        <v>-211724061.14790303</v>
      </c>
      <c r="R124" s="90">
        <f t="shared" si="35"/>
        <v>-216445545.33775598</v>
      </c>
      <c r="S124" s="90">
        <f t="shared" si="35"/>
        <v>-221937214.36809397</v>
      </c>
      <c r="T124" s="90">
        <f t="shared" si="35"/>
        <v>-228201813.11036128</v>
      </c>
      <c r="U124" s="90">
        <f t="shared" si="35"/>
        <v>-235251136.51308715</v>
      </c>
      <c r="V124" s="90">
        <f t="shared" si="35"/>
        <v>-243105429.03494656</v>
      </c>
      <c r="W124" s="90">
        <f t="shared" si="35"/>
        <v>-251792934.7184329</v>
      </c>
      <c r="X124" s="90">
        <f t="shared" si="35"/>
        <v>-261349580.15249455</v>
      </c>
      <c r="Y124" s="90">
        <f t="shared" si="35"/>
        <v>-271818775.62279296</v>
      </c>
      <c r="Z124" s="90">
        <f t="shared" si="35"/>
        <v>-283251322.37200046</v>
      </c>
    </row>
    <row r="125" spans="1:26" ht="15" hidden="1" customHeight="1" outlineLevel="1" x14ac:dyDescent="0.2">
      <c r="A125" s="89" t="s">
        <v>508</v>
      </c>
      <c r="B125" s="90">
        <f>$J$85+B124</f>
        <v>1100000000</v>
      </c>
      <c r="C125" s="90">
        <f t="shared" ref="C125:Z125" si="36">B125+C124</f>
        <v>841952081.63839996</v>
      </c>
      <c r="D125" s="90">
        <f t="shared" si="36"/>
        <v>598319599.20051193</v>
      </c>
      <c r="E125" s="90">
        <f t="shared" si="36"/>
        <v>366436897.15133685</v>
      </c>
      <c r="F125" s="90">
        <f t="shared" si="36"/>
        <v>143997901.07441017</v>
      </c>
      <c r="G125" s="90">
        <f t="shared" si="36"/>
        <v>-71001040.872915596</v>
      </c>
      <c r="H125" s="90">
        <f t="shared" si="36"/>
        <v>-280310000.43263566</v>
      </c>
      <c r="I125" s="90">
        <f t="shared" si="36"/>
        <v>-485467263.67525029</v>
      </c>
      <c r="J125" s="90">
        <f t="shared" si="36"/>
        <v>-687835156.85767353</v>
      </c>
      <c r="K125" s="90">
        <f t="shared" si="36"/>
        <v>-888630823.04303026</v>
      </c>
      <c r="L125" s="90">
        <f t="shared" si="36"/>
        <v>-1088952732.839304</v>
      </c>
      <c r="M125" s="90">
        <f t="shared" si="36"/>
        <v>-1289803597.1879549</v>
      </c>
      <c r="N125" s="90">
        <f t="shared" si="36"/>
        <v>-1492110252.1878719</v>
      </c>
      <c r="O125" s="90">
        <f t="shared" si="36"/>
        <v>-1696741002.8656502</v>
      </c>
      <c r="P125" s="90">
        <f t="shared" si="36"/>
        <v>-1904520842.3838384</v>
      </c>
      <c r="Q125" s="90">
        <f t="shared" si="36"/>
        <v>-2116244903.5317414</v>
      </c>
      <c r="R125" s="90">
        <f t="shared" si="36"/>
        <v>-2332690448.8694973</v>
      </c>
      <c r="S125" s="90">
        <f t="shared" si="36"/>
        <v>-2554627663.2375913</v>
      </c>
      <c r="T125" s="90">
        <f t="shared" si="36"/>
        <v>-2782829476.3479524</v>
      </c>
      <c r="U125" s="90">
        <f t="shared" si="36"/>
        <v>-3018080612.8610396</v>
      </c>
      <c r="V125" s="90">
        <f t="shared" si="36"/>
        <v>-3261186041.8959861</v>
      </c>
      <c r="W125" s="90">
        <f t="shared" si="36"/>
        <v>-3512978976.614419</v>
      </c>
      <c r="X125" s="90">
        <f t="shared" si="36"/>
        <v>-3774328556.7669134</v>
      </c>
      <c r="Y125" s="90">
        <f t="shared" si="36"/>
        <v>-4046147332.3897066</v>
      </c>
      <c r="Z125" s="90">
        <f t="shared" si="36"/>
        <v>-4329398654.7617073</v>
      </c>
    </row>
    <row r="126" spans="1:26" ht="15" hidden="1" customHeight="1" outlineLevel="1" x14ac:dyDescent="0.2">
      <c r="A126" s="89" t="s">
        <v>509</v>
      </c>
      <c r="B126" s="90">
        <f>B124</f>
        <v>-400000000</v>
      </c>
      <c r="C126" s="90">
        <f t="shared" ref="C126:Z126" si="37">B126+C124</f>
        <v>-658047918.36160004</v>
      </c>
      <c r="D126" s="90">
        <f t="shared" si="37"/>
        <v>-901680400.79948807</v>
      </c>
      <c r="E126" s="90">
        <f t="shared" si="37"/>
        <v>-1133563102.8486631</v>
      </c>
      <c r="F126" s="90">
        <f t="shared" si="37"/>
        <v>-1356002098.9255898</v>
      </c>
      <c r="G126" s="90">
        <f t="shared" si="37"/>
        <v>-1571001040.8729155</v>
      </c>
      <c r="H126" s="90">
        <f t="shared" si="37"/>
        <v>-1780310000.4326355</v>
      </c>
      <c r="I126" s="90">
        <f t="shared" si="37"/>
        <v>-1985467263.6752501</v>
      </c>
      <c r="J126" s="90">
        <f t="shared" si="37"/>
        <v>-2187835156.8576732</v>
      </c>
      <c r="K126" s="90">
        <f t="shared" si="37"/>
        <v>-2388630823.0430298</v>
      </c>
      <c r="L126" s="90">
        <f t="shared" si="37"/>
        <v>-2588952732.8393035</v>
      </c>
      <c r="M126" s="90">
        <f t="shared" si="37"/>
        <v>-2789803597.1879544</v>
      </c>
      <c r="N126" s="90">
        <f t="shared" si="37"/>
        <v>-2992110252.1878715</v>
      </c>
      <c r="O126" s="90">
        <f t="shared" si="37"/>
        <v>-3196741002.8656497</v>
      </c>
      <c r="P126" s="90">
        <f t="shared" si="37"/>
        <v>-3404520842.3838382</v>
      </c>
      <c r="Q126" s="90">
        <f t="shared" si="37"/>
        <v>-3616244903.5317411</v>
      </c>
      <c r="R126" s="90">
        <f t="shared" si="37"/>
        <v>-3832690448.8694973</v>
      </c>
      <c r="S126" s="90">
        <f t="shared" si="37"/>
        <v>-4054627663.2375913</v>
      </c>
      <c r="T126" s="90">
        <f t="shared" si="37"/>
        <v>-4282829476.3479524</v>
      </c>
      <c r="U126" s="90">
        <f t="shared" si="37"/>
        <v>-4518080612.8610392</v>
      </c>
      <c r="V126" s="90">
        <f t="shared" si="37"/>
        <v>-4761186041.8959856</v>
      </c>
      <c r="W126" s="90">
        <f t="shared" si="37"/>
        <v>-5012978976.614418</v>
      </c>
      <c r="X126" s="90">
        <f t="shared" si="37"/>
        <v>-5274328556.7669125</v>
      </c>
      <c r="Y126" s="90">
        <f t="shared" si="37"/>
        <v>-5546147332.3897057</v>
      </c>
      <c r="Z126" s="90">
        <f t="shared" si="37"/>
        <v>-5829398654.7617064</v>
      </c>
    </row>
    <row r="127" spans="1:26" ht="15" hidden="1" customHeight="1" outlineLevel="1" x14ac:dyDescent="0.2"/>
    <row r="128" spans="1:26" ht="15" hidden="1" customHeight="1" outlineLevel="1" x14ac:dyDescent="0.2">
      <c r="A128" s="89" t="s">
        <v>510</v>
      </c>
      <c r="C128" s="91">
        <f>$D$86*(1+$E$86)^0</f>
        <v>300</v>
      </c>
      <c r="D128" s="91">
        <f>$D$86*(1+$E$86)^1</f>
        <v>319.20000000000005</v>
      </c>
      <c r="E128" s="91">
        <f>$D$86*(1+$E$86)^2</f>
        <v>339.62880000000007</v>
      </c>
      <c r="F128" s="91">
        <f>$D$86*(1+$E$86)^3</f>
        <v>361.36504320000012</v>
      </c>
      <c r="G128" s="91">
        <f>$D$86*(1+$E$86)^4</f>
        <v>384.49240596480013</v>
      </c>
      <c r="H128" s="91">
        <f>$D$86*(1+$E$86)^5</f>
        <v>409.0999199465474</v>
      </c>
      <c r="I128" s="91">
        <f>$D$86*(1+$E$86)^6</f>
        <v>435.28231482312646</v>
      </c>
      <c r="J128" s="91">
        <f>$D$86*(1+$E$86)^7</f>
        <v>463.14038297180662</v>
      </c>
      <c r="K128" s="91">
        <f>$D$86*(1+$E$86)^8</f>
        <v>492.78136748200222</v>
      </c>
      <c r="L128" s="91">
        <f>$D$86*(1+$E$86)^9</f>
        <v>524.31937500085041</v>
      </c>
      <c r="M128" s="91">
        <f>$D$86*(1+$E$86)^10</f>
        <v>557.87581500090494</v>
      </c>
      <c r="N128" s="91">
        <f>$D$86*(1+$E$86)^11</f>
        <v>593.57986716096298</v>
      </c>
      <c r="O128" s="91">
        <f>$D$86*(1+$E$86)^12</f>
        <v>631.56897865926464</v>
      </c>
      <c r="P128" s="91">
        <f>$D$86*(1+$E$86)^13</f>
        <v>671.98939329345751</v>
      </c>
      <c r="Q128" s="91">
        <f>$D$86*(1+$E$86)^14</f>
        <v>714.99671446423895</v>
      </c>
      <c r="R128" s="91">
        <f>$D$86*(1+$E$86)^15</f>
        <v>760.75650418995031</v>
      </c>
      <c r="S128" s="91">
        <f>$D$86*(1+$E$86)^16</f>
        <v>809.44492045810716</v>
      </c>
      <c r="T128" s="91">
        <f>$D$86*(1+$E$86)^17</f>
        <v>861.24939536742602</v>
      </c>
      <c r="U128" s="91">
        <f>$D$86*(1+$E$86)^18</f>
        <v>916.36935667094156</v>
      </c>
      <c r="V128" s="91">
        <f>$D$86*(1+$E$86)^19</f>
        <v>975.01699549788179</v>
      </c>
      <c r="W128" s="91">
        <f>$D$86*(1+$E$86)^20</f>
        <v>1037.4180832097463</v>
      </c>
      <c r="X128" s="91">
        <f>$D$86*(1+$E$86)^21</f>
        <v>1103.8128405351704</v>
      </c>
      <c r="Y128" s="91">
        <f>$D$86*(1+$E$86)^22</f>
        <v>1174.4568623294213</v>
      </c>
      <c r="Z128" s="91">
        <f>$D$86*(1+$E$86)^23</f>
        <v>1249.6221015185042</v>
      </c>
    </row>
    <row r="129" spans="1:26" ht="15" hidden="1" customHeight="1" outlineLevel="1" x14ac:dyDescent="0.2">
      <c r="A129" s="89" t="s">
        <v>511</v>
      </c>
      <c r="B129" s="89">
        <v>0</v>
      </c>
      <c r="C129" s="91">
        <f t="shared" ref="C129:Z129" si="38">B129*(1-$F$86)+C128</f>
        <v>300</v>
      </c>
      <c r="D129" s="91">
        <f t="shared" si="38"/>
        <v>574.20000000000005</v>
      </c>
      <c r="E129" s="91">
        <f t="shared" si="38"/>
        <v>827.69880000000012</v>
      </c>
      <c r="F129" s="91">
        <f t="shared" si="38"/>
        <v>1064.9090232000001</v>
      </c>
      <c r="G129" s="91">
        <f t="shared" si="38"/>
        <v>1289.6650756848003</v>
      </c>
      <c r="H129" s="91">
        <f t="shared" si="38"/>
        <v>1505.3152342786275</v>
      </c>
      <c r="I129" s="91">
        <f t="shared" si="38"/>
        <v>1714.8002639599597</v>
      </c>
      <c r="J129" s="91">
        <f t="shared" si="38"/>
        <v>1920.7206073377724</v>
      </c>
      <c r="K129" s="91">
        <f t="shared" si="38"/>
        <v>2125.393883719109</v>
      </c>
      <c r="L129" s="91">
        <f t="shared" si="38"/>
        <v>2330.9041761620929</v>
      </c>
      <c r="M129" s="91">
        <f t="shared" si="38"/>
        <v>2539.1443647386836</v>
      </c>
      <c r="N129" s="91">
        <f t="shared" si="38"/>
        <v>2751.8525771888444</v>
      </c>
      <c r="O129" s="91">
        <f t="shared" si="38"/>
        <v>2970.6436692697825</v>
      </c>
      <c r="P129" s="91">
        <f t="shared" si="38"/>
        <v>3197.0365121727723</v>
      </c>
      <c r="Q129" s="91">
        <f t="shared" si="38"/>
        <v>3432.4777498110952</v>
      </c>
      <c r="R129" s="91">
        <f t="shared" si="38"/>
        <v>3678.362591529381</v>
      </c>
      <c r="S129" s="91">
        <f t="shared" si="38"/>
        <v>3936.0531232580806</v>
      </c>
      <c r="T129" s="91">
        <f t="shared" si="38"/>
        <v>4206.8945501367944</v>
      </c>
      <c r="U129" s="91">
        <f t="shared" si="38"/>
        <v>4492.2297242872164</v>
      </c>
      <c r="V129" s="91">
        <f t="shared" si="38"/>
        <v>4793.4122611420153</v>
      </c>
      <c r="W129" s="91">
        <f t="shared" si="38"/>
        <v>5111.8185051804594</v>
      </c>
      <c r="X129" s="91">
        <f t="shared" si="38"/>
        <v>5448.8585699385603</v>
      </c>
      <c r="Y129" s="91">
        <f t="shared" si="38"/>
        <v>5805.9866467771972</v>
      </c>
      <c r="Z129" s="91">
        <f t="shared" si="38"/>
        <v>6184.7107512791208</v>
      </c>
    </row>
    <row r="130" spans="1:26" ht="15" hidden="1" customHeight="1" outlineLevel="1" x14ac:dyDescent="0.2">
      <c r="A130" s="89" t="s">
        <v>512</v>
      </c>
      <c r="B130" s="90">
        <f>-$I$86</f>
        <v>-400000000</v>
      </c>
      <c r="C130" s="90">
        <f t="shared" ref="C130:Z130" si="39">C129*($B$86-$C$86)-C128*$G$86-$H$86</f>
        <v>-292559897.95200002</v>
      </c>
      <c r="D130" s="90">
        <f t="shared" si="39"/>
        <v>-271779644.68012804</v>
      </c>
      <c r="E130" s="90">
        <f t="shared" si="39"/>
        <v>-254443068.20997626</v>
      </c>
      <c r="F130" s="90">
        <f t="shared" si="39"/>
        <v>-240054521.90518671</v>
      </c>
      <c r="G130" s="90">
        <f t="shared" si="39"/>
        <v>-228194044.03742486</v>
      </c>
      <c r="H130" s="90">
        <f t="shared" si="39"/>
        <v>-218506090.6765804</v>
      </c>
      <c r="I130" s="90">
        <f t="shared" si="39"/>
        <v>-210689964.12752777</v>
      </c>
      <c r="J130" s="90">
        <f t="shared" si="39"/>
        <v>-204491682.93218884</v>
      </c>
      <c r="K130" s="90">
        <f t="shared" si="39"/>
        <v>-199697077.57527328</v>
      </c>
      <c r="L130" s="90">
        <f t="shared" si="39"/>
        <v>-196125928.43520153</v>
      </c>
      <c r="M130" s="90">
        <f t="shared" si="39"/>
        <v>-193626990.06589866</v>
      </c>
      <c r="N130" s="90">
        <f t="shared" si="39"/>
        <v>-192073769.30933368</v>
      </c>
      <c r="O130" s="90">
        <f t="shared" si="39"/>
        <v>-191360944.64246583</v>
      </c>
      <c r="P130" s="90">
        <f t="shared" si="39"/>
        <v>-191401331.08231837</v>
      </c>
      <c r="Q130" s="90">
        <f t="shared" si="39"/>
        <v>-192123309.35691124</v>
      </c>
      <c r="R130" s="90">
        <f t="shared" si="39"/>
        <v>-193468650.27827936</v>
      </c>
      <c r="S130" s="90">
        <f t="shared" si="39"/>
        <v>-195390675.65023619</v>
      </c>
      <c r="T130" s="90">
        <f t="shared" si="39"/>
        <v>-197852705.88287616</v>
      </c>
      <c r="U130" s="90">
        <f t="shared" si="39"/>
        <v>-200826752.00175154</v>
      </c>
      <c r="V130" s="90">
        <f t="shared" si="39"/>
        <v>-204292416.13087904</v>
      </c>
      <c r="W130" s="90">
        <f t="shared" si="39"/>
        <v>-208235969.96411848</v>
      </c>
      <c r="X130" s="90">
        <f t="shared" si="39"/>
        <v>-212649585.36255586</v>
      </c>
      <c r="Y130" s="90">
        <f t="shared" si="39"/>
        <v>-217530695.1483829</v>
      </c>
      <c r="Z130" s="90">
        <f t="shared" si="39"/>
        <v>-222881465.51210964</v>
      </c>
    </row>
    <row r="131" spans="1:26" ht="15" hidden="1" customHeight="1" outlineLevel="1" x14ac:dyDescent="0.2">
      <c r="A131" s="89" t="s">
        <v>513</v>
      </c>
      <c r="B131" s="90">
        <f>$J$86+B130</f>
        <v>1100000000</v>
      </c>
      <c r="C131" s="90">
        <f t="shared" ref="C131:Z131" si="40">B131+C130</f>
        <v>807440102.04799998</v>
      </c>
      <c r="D131" s="90">
        <f t="shared" si="40"/>
        <v>535660457.36787194</v>
      </c>
      <c r="E131" s="90">
        <f t="shared" si="40"/>
        <v>281217389.15789568</v>
      </c>
      <c r="F131" s="90">
        <f t="shared" si="40"/>
        <v>41162867.252708972</v>
      </c>
      <c r="G131" s="90">
        <f t="shared" si="40"/>
        <v>-187031176.78471589</v>
      </c>
      <c r="H131" s="90">
        <f t="shared" si="40"/>
        <v>-405537267.46129632</v>
      </c>
      <c r="I131" s="90">
        <f t="shared" si="40"/>
        <v>-616227231.58882403</v>
      </c>
      <c r="J131" s="90">
        <f t="shared" si="40"/>
        <v>-820718914.5210129</v>
      </c>
      <c r="K131" s="90">
        <f t="shared" si="40"/>
        <v>-1020415992.0962862</v>
      </c>
      <c r="L131" s="90">
        <f t="shared" si="40"/>
        <v>-1216541920.5314877</v>
      </c>
      <c r="M131" s="90">
        <f t="shared" si="40"/>
        <v>-1410168910.5973864</v>
      </c>
      <c r="N131" s="90">
        <f t="shared" si="40"/>
        <v>-1602242679.9067202</v>
      </c>
      <c r="O131" s="90">
        <f t="shared" si="40"/>
        <v>-1793603624.549186</v>
      </c>
      <c r="P131" s="90">
        <f t="shared" si="40"/>
        <v>-1985004955.6315043</v>
      </c>
      <c r="Q131" s="90">
        <f t="shared" si="40"/>
        <v>-2177128264.9884157</v>
      </c>
      <c r="R131" s="90">
        <f t="shared" si="40"/>
        <v>-2370596915.266695</v>
      </c>
      <c r="S131" s="90">
        <f t="shared" si="40"/>
        <v>-2565987590.9169312</v>
      </c>
      <c r="T131" s="90">
        <f t="shared" si="40"/>
        <v>-2763840296.7998075</v>
      </c>
      <c r="U131" s="90">
        <f t="shared" si="40"/>
        <v>-2964667048.801559</v>
      </c>
      <c r="V131" s="90">
        <f t="shared" si="40"/>
        <v>-3168959464.9324379</v>
      </c>
      <c r="W131" s="90">
        <f t="shared" si="40"/>
        <v>-3377195434.8965564</v>
      </c>
      <c r="X131" s="90">
        <f t="shared" si="40"/>
        <v>-3589845020.2591124</v>
      </c>
      <c r="Y131" s="90">
        <f t="shared" si="40"/>
        <v>-3807375715.4074955</v>
      </c>
      <c r="Z131" s="90">
        <f t="shared" si="40"/>
        <v>-4030257180.9196053</v>
      </c>
    </row>
    <row r="132" spans="1:26" ht="15" hidden="1" customHeight="1" outlineLevel="1" x14ac:dyDescent="0.2">
      <c r="A132" s="89" t="s">
        <v>514</v>
      </c>
      <c r="B132" s="90">
        <f>B130</f>
        <v>-400000000</v>
      </c>
      <c r="C132" s="90">
        <f t="shared" ref="C132:Z132" si="41">B132+C130</f>
        <v>-692559897.95200002</v>
      </c>
      <c r="D132" s="90">
        <f t="shared" si="41"/>
        <v>-964339542.632128</v>
      </c>
      <c r="E132" s="90">
        <f t="shared" si="41"/>
        <v>-1218782610.8421042</v>
      </c>
      <c r="F132" s="90">
        <f t="shared" si="41"/>
        <v>-1458837132.7472908</v>
      </c>
      <c r="G132" s="90">
        <f t="shared" si="41"/>
        <v>-1687031176.7847157</v>
      </c>
      <c r="H132" s="90">
        <f t="shared" si="41"/>
        <v>-1905537267.4612961</v>
      </c>
      <c r="I132" s="90">
        <f t="shared" si="41"/>
        <v>-2116227231.5888238</v>
      </c>
      <c r="J132" s="90">
        <f t="shared" si="41"/>
        <v>-2320718914.5210128</v>
      </c>
      <c r="K132" s="90">
        <f t="shared" si="41"/>
        <v>-2520415992.0962858</v>
      </c>
      <c r="L132" s="90">
        <f t="shared" si="41"/>
        <v>-2716541920.5314875</v>
      </c>
      <c r="M132" s="90">
        <f t="shared" si="41"/>
        <v>-2910168910.5973864</v>
      </c>
      <c r="N132" s="90">
        <f t="shared" si="41"/>
        <v>-3102242679.9067202</v>
      </c>
      <c r="O132" s="90">
        <f t="shared" si="41"/>
        <v>-3293603624.5491858</v>
      </c>
      <c r="P132" s="90">
        <f t="shared" si="41"/>
        <v>-3485004955.6315041</v>
      </c>
      <c r="Q132" s="90">
        <f t="shared" si="41"/>
        <v>-3677128264.9884152</v>
      </c>
      <c r="R132" s="90">
        <f t="shared" si="41"/>
        <v>-3870596915.2666945</v>
      </c>
      <c r="S132" s="90">
        <f t="shared" si="41"/>
        <v>-4065987590.9169307</v>
      </c>
      <c r="T132" s="90">
        <f t="shared" si="41"/>
        <v>-4263840296.7998066</v>
      </c>
      <c r="U132" s="90">
        <f t="shared" si="41"/>
        <v>-4464667048.8015585</v>
      </c>
      <c r="V132" s="90">
        <f t="shared" si="41"/>
        <v>-4668959464.9324379</v>
      </c>
      <c r="W132" s="90">
        <f t="shared" si="41"/>
        <v>-4877195434.8965569</v>
      </c>
      <c r="X132" s="90">
        <f t="shared" si="41"/>
        <v>-5089845020.2591124</v>
      </c>
      <c r="Y132" s="90">
        <f t="shared" si="41"/>
        <v>-5307375715.4074955</v>
      </c>
      <c r="Z132" s="90">
        <f t="shared" si="41"/>
        <v>-5530257180.9196053</v>
      </c>
    </row>
    <row r="133" spans="1:26" ht="15" hidden="1" customHeight="1" outlineLevel="1" x14ac:dyDescent="0.2"/>
    <row r="134" spans="1:26" ht="15" hidden="1" customHeight="1" outlineLevel="1" x14ac:dyDescent="0.2">
      <c r="A134" s="89" t="s">
        <v>515</v>
      </c>
      <c r="C134" s="91">
        <f>$D$87*(1+$E$87)^0</f>
        <v>300</v>
      </c>
      <c r="D134" s="91">
        <f>$D$87*(1+$E$87)^1</f>
        <v>324</v>
      </c>
      <c r="E134" s="91">
        <f>$D$87*(1+$E$87)^2</f>
        <v>349.92</v>
      </c>
      <c r="F134" s="91">
        <f>$D$87*(1+$E$87)^3</f>
        <v>377.91360000000003</v>
      </c>
      <c r="G134" s="91">
        <f>$D$87*(1+$E$87)^4</f>
        <v>408.1466880000001</v>
      </c>
      <c r="H134" s="91">
        <f>$D$87*(1+$E$87)^5</f>
        <v>440.7984230400001</v>
      </c>
      <c r="I134" s="91">
        <f>$D$87*(1+$E$87)^6</f>
        <v>476.06229688320019</v>
      </c>
      <c r="J134" s="91">
        <f>$D$87*(1+$E$87)^7</f>
        <v>514.14728063385621</v>
      </c>
      <c r="K134" s="91">
        <f>$D$87*(1+$E$87)^8</f>
        <v>555.27906308456465</v>
      </c>
      <c r="L134" s="91">
        <f>$D$87*(1+$E$87)^9</f>
        <v>599.70138813132996</v>
      </c>
      <c r="M134" s="91">
        <f>$D$87*(1+$E$87)^10</f>
        <v>647.67749918183631</v>
      </c>
      <c r="N134" s="91">
        <f>$D$87*(1+$E$87)^11</f>
        <v>699.49169911638319</v>
      </c>
      <c r="O134" s="91">
        <f>$D$87*(1+$E$87)^12</f>
        <v>755.45103504569397</v>
      </c>
      <c r="P134" s="91">
        <f>$D$87*(1+$E$87)^13</f>
        <v>815.88711784934947</v>
      </c>
      <c r="Q134" s="91">
        <f>$D$87*(1+$E$87)^14</f>
        <v>881.15808727729757</v>
      </c>
      <c r="R134" s="91">
        <f>$D$87*(1+$E$87)^15</f>
        <v>951.65073425948151</v>
      </c>
      <c r="S134" s="91">
        <f>$D$87*(1+$E$87)^16</f>
        <v>1027.78279300024</v>
      </c>
      <c r="T134" s="91">
        <f>$D$87*(1+$E$87)^17</f>
        <v>1110.0054164402591</v>
      </c>
      <c r="U134" s="91">
        <f>$D$87*(1+$E$87)^18</f>
        <v>1198.80584975548</v>
      </c>
      <c r="V134" s="91">
        <f>$D$87*(1+$E$87)^19</f>
        <v>1294.7103177359186</v>
      </c>
      <c r="W134" s="91">
        <f>$D$87*(1+$E$87)^20</f>
        <v>1398.2871431547919</v>
      </c>
      <c r="X134" s="91">
        <f>$D$87*(1+$E$87)^21</f>
        <v>1510.1501146071753</v>
      </c>
      <c r="Y134" s="91">
        <f>$D$87*(1+$E$87)^22</f>
        <v>1630.9621237757497</v>
      </c>
      <c r="Z134" s="91">
        <f>$D$87*(1+$E$87)^23</f>
        <v>1761.4390936778095</v>
      </c>
    </row>
    <row r="135" spans="1:26" ht="15" hidden="1" customHeight="1" outlineLevel="1" x14ac:dyDescent="0.2">
      <c r="A135" s="89" t="s">
        <v>516</v>
      </c>
      <c r="B135" s="89">
        <v>0</v>
      </c>
      <c r="C135" s="91">
        <f t="shared" ref="C135:Z135" si="42">B135*(1-$F$87)+C134</f>
        <v>300</v>
      </c>
      <c r="D135" s="91">
        <f t="shared" si="42"/>
        <v>579</v>
      </c>
      <c r="E135" s="91">
        <f t="shared" si="42"/>
        <v>842.06999999999994</v>
      </c>
      <c r="F135" s="91">
        <f t="shared" si="42"/>
        <v>1093.6731</v>
      </c>
      <c r="G135" s="91">
        <f t="shared" si="42"/>
        <v>1337.7688230000001</v>
      </c>
      <c r="H135" s="91">
        <f t="shared" si="42"/>
        <v>1577.9019225900001</v>
      </c>
      <c r="I135" s="91">
        <f t="shared" si="42"/>
        <v>1817.2789310847002</v>
      </c>
      <c r="J135" s="91">
        <f t="shared" si="42"/>
        <v>2058.8343720558514</v>
      </c>
      <c r="K135" s="91">
        <f t="shared" si="42"/>
        <v>2305.2882793320382</v>
      </c>
      <c r="L135" s="91">
        <f t="shared" si="42"/>
        <v>2559.1964255635626</v>
      </c>
      <c r="M135" s="91">
        <f t="shared" si="42"/>
        <v>2822.9944609108643</v>
      </c>
      <c r="N135" s="91">
        <f t="shared" si="42"/>
        <v>3099.0369908906177</v>
      </c>
      <c r="O135" s="91">
        <f t="shared" si="42"/>
        <v>3389.6324773027191</v>
      </c>
      <c r="P135" s="91">
        <f t="shared" si="42"/>
        <v>3697.0747235566605</v>
      </c>
      <c r="Q135" s="91">
        <f t="shared" si="42"/>
        <v>4023.6716023004587</v>
      </c>
      <c r="R135" s="91">
        <f t="shared" si="42"/>
        <v>4371.7715962148714</v>
      </c>
      <c r="S135" s="91">
        <f t="shared" si="42"/>
        <v>4743.7886497828804</v>
      </c>
      <c r="T135" s="91">
        <f t="shared" si="42"/>
        <v>5142.2257687557067</v>
      </c>
      <c r="U135" s="91">
        <f t="shared" si="42"/>
        <v>5569.6977531978309</v>
      </c>
      <c r="V135" s="91">
        <f t="shared" si="42"/>
        <v>6028.9534079540745</v>
      </c>
      <c r="W135" s="91">
        <f t="shared" si="42"/>
        <v>6522.8975399157553</v>
      </c>
      <c r="X135" s="91">
        <f t="shared" si="42"/>
        <v>7054.6130235355668</v>
      </c>
      <c r="Y135" s="91">
        <f t="shared" si="42"/>
        <v>7627.3831937809809</v>
      </c>
      <c r="Z135" s="91">
        <f t="shared" si="42"/>
        <v>8244.7148083916436</v>
      </c>
    </row>
    <row r="136" spans="1:26" ht="15" hidden="1" customHeight="1" outlineLevel="1" x14ac:dyDescent="0.2">
      <c r="A136" s="89" t="s">
        <v>517</v>
      </c>
      <c r="B136" s="90">
        <f>-$I$87</f>
        <v>-400000000</v>
      </c>
      <c r="C136" s="90">
        <f t="shared" ref="C136:Z136" si="43">C135*($B$87-$C$87)-C134*$G$87-$H$87</f>
        <v>-316559897.95200002</v>
      </c>
      <c r="D136" s="90">
        <f t="shared" si="43"/>
        <v>-298540603.04736</v>
      </c>
      <c r="E136" s="90">
        <f t="shared" si="43"/>
        <v>-283853377.56146884</v>
      </c>
      <c r="F136" s="90">
        <f t="shared" si="43"/>
        <v>-272048745.09615839</v>
      </c>
      <c r="G136" s="90">
        <f t="shared" si="43"/>
        <v>-262748677.43415725</v>
      </c>
      <c r="H136" s="90">
        <f t="shared" si="43"/>
        <v>-255636199.44965008</v>
      </c>
      <c r="I136" s="90">
        <f t="shared" si="43"/>
        <v>-250446579.05326834</v>
      </c>
      <c r="J136" s="90">
        <f t="shared" si="43"/>
        <v>-246959866.47802913</v>
      </c>
      <c r="K136" s="90">
        <f t="shared" si="43"/>
        <v>-244994582.73169577</v>
      </c>
      <c r="L136" s="90">
        <f t="shared" si="43"/>
        <v>-244402387.24534225</v>
      </c>
      <c r="M136" s="90">
        <f t="shared" si="43"/>
        <v>-245063580.43581378</v>
      </c>
      <c r="N136" s="90">
        <f t="shared" si="43"/>
        <v>-246883318.74989635</v>
      </c>
      <c r="O136" s="90">
        <f t="shared" si="43"/>
        <v>-249788438.34722298</v>
      </c>
      <c r="P136" s="90">
        <f t="shared" si="43"/>
        <v>-253724799.39773548</v>
      </c>
      <c r="Q136" s="90">
        <f t="shared" si="43"/>
        <v>-258655076.43487889</v>
      </c>
      <c r="R136" s="90">
        <f t="shared" si="43"/>
        <v>-264556931.67219496</v>
      </c>
      <c r="S136" s="90">
        <f t="shared" si="43"/>
        <v>-271421517.96011746</v>
      </c>
      <c r="T136" s="90">
        <f t="shared" si="43"/>
        <v>-279252266.38795173</v>
      </c>
      <c r="U136" s="90">
        <f t="shared" si="43"/>
        <v>-288063920.64135909</v>
      </c>
      <c r="V136" s="90">
        <f t="shared" si="43"/>
        <v>-297881786.29368329</v>
      </c>
      <c r="W136" s="90">
        <f t="shared" si="43"/>
        <v>-308741168.39804101</v>
      </c>
      <c r="X136" s="90">
        <f t="shared" si="43"/>
        <v>-320686975.19061792</v>
      </c>
      <c r="Y136" s="90">
        <f t="shared" si="43"/>
        <v>-333773469.52849114</v>
      </c>
      <c r="Z136" s="90">
        <f t="shared" si="43"/>
        <v>-348064152.96500039</v>
      </c>
    </row>
    <row r="137" spans="1:26" ht="15" hidden="1" customHeight="1" outlineLevel="1" x14ac:dyDescent="0.2">
      <c r="A137" s="89" t="s">
        <v>518</v>
      </c>
      <c r="B137" s="90">
        <f>$J$87+B136</f>
        <v>1100000000</v>
      </c>
      <c r="C137" s="90">
        <f t="shared" ref="C137:Z137" si="44">B137+C136</f>
        <v>783440102.04799998</v>
      </c>
      <c r="D137" s="90">
        <f t="shared" si="44"/>
        <v>484899499.00063998</v>
      </c>
      <c r="E137" s="90">
        <f t="shared" si="44"/>
        <v>201046121.43917114</v>
      </c>
      <c r="F137" s="90">
        <f t="shared" si="44"/>
        <v>-71002623.65698725</v>
      </c>
      <c r="G137" s="90">
        <f t="shared" si="44"/>
        <v>-333751301.0911445</v>
      </c>
      <c r="H137" s="90">
        <f t="shared" si="44"/>
        <v>-589387500.54079461</v>
      </c>
      <c r="I137" s="90">
        <f t="shared" si="44"/>
        <v>-839834079.59406292</v>
      </c>
      <c r="J137" s="90">
        <f t="shared" si="44"/>
        <v>-1086793946.0720921</v>
      </c>
      <c r="K137" s="90">
        <f t="shared" si="44"/>
        <v>-1331788528.8037877</v>
      </c>
      <c r="L137" s="90">
        <f t="shared" si="44"/>
        <v>-1576190916.04913</v>
      </c>
      <c r="M137" s="90">
        <f t="shared" si="44"/>
        <v>-1821254496.4849439</v>
      </c>
      <c r="N137" s="90">
        <f t="shared" si="44"/>
        <v>-2068137815.2348402</v>
      </c>
      <c r="O137" s="90">
        <f t="shared" si="44"/>
        <v>-2317926253.5820632</v>
      </c>
      <c r="P137" s="90">
        <f t="shared" si="44"/>
        <v>-2571651052.9797988</v>
      </c>
      <c r="Q137" s="90">
        <f t="shared" si="44"/>
        <v>-2830306129.4146776</v>
      </c>
      <c r="R137" s="90">
        <f t="shared" si="44"/>
        <v>-3094863061.0868726</v>
      </c>
      <c r="S137" s="90">
        <f t="shared" si="44"/>
        <v>-3366284579.0469899</v>
      </c>
      <c r="T137" s="90">
        <f t="shared" si="44"/>
        <v>-3645536845.4349418</v>
      </c>
      <c r="U137" s="90">
        <f t="shared" si="44"/>
        <v>-3933600766.0763006</v>
      </c>
      <c r="V137" s="90">
        <f t="shared" si="44"/>
        <v>-4231482552.3699837</v>
      </c>
      <c r="W137" s="90">
        <f t="shared" si="44"/>
        <v>-4540223720.7680244</v>
      </c>
      <c r="X137" s="90">
        <f t="shared" si="44"/>
        <v>-4860910695.958642</v>
      </c>
      <c r="Y137" s="90">
        <f t="shared" si="44"/>
        <v>-5194684165.487133</v>
      </c>
      <c r="Z137" s="90">
        <f t="shared" si="44"/>
        <v>-5542748318.4521332</v>
      </c>
    </row>
    <row r="138" spans="1:26" ht="15" hidden="1" customHeight="1" outlineLevel="1" x14ac:dyDescent="0.2">
      <c r="A138" s="89" t="s">
        <v>519</v>
      </c>
      <c r="B138" s="90">
        <f>B136</f>
        <v>-400000000</v>
      </c>
      <c r="C138" s="90">
        <f t="shared" ref="C138:Z138" si="45">B138+C136</f>
        <v>-716559897.95200002</v>
      </c>
      <c r="D138" s="90">
        <f t="shared" si="45"/>
        <v>-1015100500.9993601</v>
      </c>
      <c r="E138" s="90">
        <f t="shared" si="45"/>
        <v>-1298953878.5608289</v>
      </c>
      <c r="F138" s="90">
        <f t="shared" si="45"/>
        <v>-1571002623.6569872</v>
      </c>
      <c r="G138" s="90">
        <f t="shared" si="45"/>
        <v>-1833751301.0911446</v>
      </c>
      <c r="H138" s="90">
        <f t="shared" si="45"/>
        <v>-2089387500.5407946</v>
      </c>
      <c r="I138" s="90">
        <f t="shared" si="45"/>
        <v>-2339834079.5940628</v>
      </c>
      <c r="J138" s="90">
        <f t="shared" si="45"/>
        <v>-2586793946.0720921</v>
      </c>
      <c r="K138" s="90">
        <f t="shared" si="45"/>
        <v>-2831788528.8037877</v>
      </c>
      <c r="L138" s="90">
        <f t="shared" si="45"/>
        <v>-3076190916.04913</v>
      </c>
      <c r="M138" s="90">
        <f t="shared" si="45"/>
        <v>-3321254496.4849439</v>
      </c>
      <c r="N138" s="90">
        <f t="shared" si="45"/>
        <v>-3568137815.2348404</v>
      </c>
      <c r="O138" s="90">
        <f t="shared" si="45"/>
        <v>-3817926253.5820632</v>
      </c>
      <c r="P138" s="90">
        <f t="shared" si="45"/>
        <v>-4071651052.9797988</v>
      </c>
      <c r="Q138" s="90">
        <f t="shared" si="45"/>
        <v>-4330306129.4146776</v>
      </c>
      <c r="R138" s="90">
        <f t="shared" si="45"/>
        <v>-4594863061.0868721</v>
      </c>
      <c r="S138" s="90">
        <f t="shared" si="45"/>
        <v>-4866284579.0469894</v>
      </c>
      <c r="T138" s="90">
        <f t="shared" si="45"/>
        <v>-5145536845.4349413</v>
      </c>
      <c r="U138" s="90">
        <f t="shared" si="45"/>
        <v>-5433600766.0763006</v>
      </c>
      <c r="V138" s="90">
        <f t="shared" si="45"/>
        <v>-5731482552.3699837</v>
      </c>
      <c r="W138" s="90">
        <f t="shared" si="45"/>
        <v>-6040223720.7680244</v>
      </c>
      <c r="X138" s="90">
        <f t="shared" si="45"/>
        <v>-6360910695.958642</v>
      </c>
      <c r="Y138" s="90">
        <f t="shared" si="45"/>
        <v>-6694684165.487133</v>
      </c>
      <c r="Z138" s="90">
        <f t="shared" si="45"/>
        <v>-7042748318.4521332</v>
      </c>
    </row>
    <row r="139" spans="1:26" ht="15" hidden="1" customHeight="1" outlineLevel="1" x14ac:dyDescent="0.2"/>
    <row r="140" spans="1:26" ht="15" hidden="1" customHeight="1" outlineLevel="1" x14ac:dyDescent="0.2">
      <c r="A140" s="89" t="s">
        <v>520</v>
      </c>
      <c r="C140" s="91">
        <f>$D$88*(1+$E$88)^0</f>
        <v>300</v>
      </c>
      <c r="D140" s="91">
        <f>$D$88*(1+$E$88)^1</f>
        <v>324</v>
      </c>
      <c r="E140" s="91">
        <f>$D$88*(1+$E$88)^2</f>
        <v>349.92</v>
      </c>
      <c r="F140" s="91">
        <f>$D$88*(1+$E$88)^3</f>
        <v>377.91360000000003</v>
      </c>
      <c r="G140" s="91">
        <f>$D$88*(1+$E$88)^4</f>
        <v>408.1466880000001</v>
      </c>
      <c r="H140" s="91">
        <f>$D$88*(1+$E$88)^5</f>
        <v>440.7984230400001</v>
      </c>
      <c r="I140" s="91">
        <f>$D$88*(1+$E$88)^6</f>
        <v>476.06229688320019</v>
      </c>
      <c r="J140" s="91">
        <f>$D$88*(1+$E$88)^7</f>
        <v>514.14728063385621</v>
      </c>
      <c r="K140" s="91">
        <f>$D$88*(1+$E$88)^8</f>
        <v>555.27906308456465</v>
      </c>
      <c r="L140" s="91">
        <f>$D$88*(1+$E$88)^9</f>
        <v>599.70138813132996</v>
      </c>
      <c r="M140" s="91">
        <f>$D$88*(1+$E$88)^10</f>
        <v>647.67749918183631</v>
      </c>
      <c r="N140" s="91">
        <f>$D$88*(1+$E$88)^11</f>
        <v>699.49169911638319</v>
      </c>
      <c r="O140" s="91">
        <f>$D$88*(1+$E$88)^12</f>
        <v>755.45103504569397</v>
      </c>
      <c r="P140" s="91">
        <f>$D$88*(1+$E$88)^13</f>
        <v>815.88711784934947</v>
      </c>
      <c r="Q140" s="91">
        <f>$D$88*(1+$E$88)^14</f>
        <v>881.15808727729757</v>
      </c>
      <c r="R140" s="91">
        <f>$D$88*(1+$E$88)^15</f>
        <v>951.65073425948151</v>
      </c>
      <c r="S140" s="91">
        <f>$D$88*(1+$E$88)^16</f>
        <v>1027.78279300024</v>
      </c>
      <c r="T140" s="91">
        <f>$D$88*(1+$E$88)^17</f>
        <v>1110.0054164402591</v>
      </c>
      <c r="U140" s="91">
        <f>$D$88*(1+$E$88)^18</f>
        <v>1198.80584975548</v>
      </c>
      <c r="V140" s="91">
        <f>$D$88*(1+$E$88)^19</f>
        <v>1294.7103177359186</v>
      </c>
      <c r="W140" s="91">
        <f>$D$88*(1+$E$88)^20</f>
        <v>1398.2871431547919</v>
      </c>
      <c r="X140" s="91">
        <f>$D$88*(1+$E$88)^21</f>
        <v>1510.1501146071753</v>
      </c>
      <c r="Y140" s="91">
        <f>$D$88*(1+$E$88)^22</f>
        <v>1630.9621237757497</v>
      </c>
      <c r="Z140" s="91">
        <f>$D$88*(1+$E$88)^23</f>
        <v>1761.4390936778095</v>
      </c>
    </row>
    <row r="141" spans="1:26" ht="15" hidden="1" customHeight="1" outlineLevel="1" x14ac:dyDescent="0.2">
      <c r="A141" s="89" t="s">
        <v>521</v>
      </c>
      <c r="B141" s="89">
        <v>0</v>
      </c>
      <c r="C141" s="91">
        <f t="shared" ref="C141:Z141" si="46">B141*(1-$F$88)+C140</f>
        <v>300</v>
      </c>
      <c r="D141" s="91">
        <f t="shared" si="46"/>
        <v>579</v>
      </c>
      <c r="E141" s="91">
        <f t="shared" si="46"/>
        <v>842.06999999999994</v>
      </c>
      <c r="F141" s="91">
        <f t="shared" si="46"/>
        <v>1093.6731</v>
      </c>
      <c r="G141" s="91">
        <f t="shared" si="46"/>
        <v>1337.7688230000001</v>
      </c>
      <c r="H141" s="91">
        <f t="shared" si="46"/>
        <v>1577.9019225900001</v>
      </c>
      <c r="I141" s="91">
        <f t="shared" si="46"/>
        <v>1817.2789310847002</v>
      </c>
      <c r="J141" s="91">
        <f t="shared" si="46"/>
        <v>2058.8343720558514</v>
      </c>
      <c r="K141" s="91">
        <f t="shared" si="46"/>
        <v>2305.2882793320382</v>
      </c>
      <c r="L141" s="91">
        <f t="shared" si="46"/>
        <v>2559.1964255635626</v>
      </c>
      <c r="M141" s="91">
        <f t="shared" si="46"/>
        <v>2822.9944609108643</v>
      </c>
      <c r="N141" s="91">
        <f t="shared" si="46"/>
        <v>3099.0369908906177</v>
      </c>
      <c r="O141" s="91">
        <f t="shared" si="46"/>
        <v>3389.6324773027191</v>
      </c>
      <c r="P141" s="91">
        <f t="shared" si="46"/>
        <v>3697.0747235566605</v>
      </c>
      <c r="Q141" s="91">
        <f t="shared" si="46"/>
        <v>4023.6716023004587</v>
      </c>
      <c r="R141" s="91">
        <f t="shared" si="46"/>
        <v>4371.7715962148714</v>
      </c>
      <c r="S141" s="91">
        <f t="shared" si="46"/>
        <v>4743.7886497828804</v>
      </c>
      <c r="T141" s="91">
        <f t="shared" si="46"/>
        <v>5142.2257687557067</v>
      </c>
      <c r="U141" s="91">
        <f t="shared" si="46"/>
        <v>5569.6977531978309</v>
      </c>
      <c r="V141" s="91">
        <f t="shared" si="46"/>
        <v>6028.9534079540745</v>
      </c>
      <c r="W141" s="91">
        <f t="shared" si="46"/>
        <v>6522.8975399157553</v>
      </c>
      <c r="X141" s="91">
        <f t="shared" si="46"/>
        <v>7054.6130235355668</v>
      </c>
      <c r="Y141" s="91">
        <f t="shared" si="46"/>
        <v>7627.3831937809809</v>
      </c>
      <c r="Z141" s="91">
        <f t="shared" si="46"/>
        <v>8244.7148083916436</v>
      </c>
    </row>
    <row r="142" spans="1:26" ht="15" hidden="1" customHeight="1" outlineLevel="1" x14ac:dyDescent="0.2">
      <c r="A142" s="89" t="s">
        <v>522</v>
      </c>
      <c r="B142" s="90">
        <f>-$I$88</f>
        <v>-400000000</v>
      </c>
      <c r="C142" s="90">
        <f t="shared" ref="C142:Z142" si="47">C141*($B$88-$C$88)-C140*$G$88-$H$88</f>
        <v>-302176552.31999999</v>
      </c>
      <c r="D142" s="90">
        <f t="shared" si="47"/>
        <v>-293100745.97759998</v>
      </c>
      <c r="E142" s="90">
        <f t="shared" si="47"/>
        <v>-286846364.707008</v>
      </c>
      <c r="F142" s="90">
        <f t="shared" si="47"/>
        <v>-283106999.07708865</v>
      </c>
      <c r="G142" s="90">
        <f t="shared" si="47"/>
        <v>-281631545.4177478</v>
      </c>
      <c r="H142" s="90">
        <f t="shared" si="47"/>
        <v>-282216657.5034858</v>
      </c>
      <c r="I142" s="90">
        <f t="shared" si="47"/>
        <v>-284700390.28823519</v>
      </c>
      <c r="J142" s="90">
        <f t="shared" si="47"/>
        <v>-288956861.66809392</v>
      </c>
      <c r="K142" s="90">
        <f t="shared" si="47"/>
        <v>-294891784.73482132</v>
      </c>
      <c r="L142" s="90">
        <f t="shared" si="47"/>
        <v>-302438745.52689493</v>
      </c>
      <c r="M142" s="90">
        <f t="shared" si="47"/>
        <v>-311556120.48034132</v>
      </c>
      <c r="N142" s="90">
        <f t="shared" si="47"/>
        <v>-322224544.13336909</v>
      </c>
      <c r="O142" s="90">
        <f t="shared" si="47"/>
        <v>-334444851.57644916</v>
      </c>
      <c r="P142" s="90">
        <f t="shared" si="47"/>
        <v>-348236432.02811396</v>
      </c>
      <c r="Q142" s="90">
        <f t="shared" si="47"/>
        <v>-363635940.06707972</v>
      </c>
      <c r="R142" s="90">
        <f t="shared" si="47"/>
        <v>-380696319.72765517</v>
      </c>
      <c r="S142" s="90">
        <f t="shared" si="47"/>
        <v>-399486104.09279531</v>
      </c>
      <c r="T142" s="90">
        <f t="shared" si="47"/>
        <v>-420088959.38910741</v>
      </c>
      <c r="U142" s="90">
        <f t="shared" si="47"/>
        <v>-442603448.06379145</v>
      </c>
      <c r="V142" s="90">
        <f t="shared" si="47"/>
        <v>-467142990.0439167</v>
      </c>
      <c r="W142" s="90">
        <f t="shared" si="47"/>
        <v>-493836005.46219862</v>
      </c>
      <c r="X142" s="90">
        <f t="shared" si="47"/>
        <v>-522826225.68172789</v>
      </c>
      <c r="Y142" s="90">
        <f t="shared" si="47"/>
        <v>-554273162.55143666</v>
      </c>
      <c r="Z142" s="90">
        <f t="shared" si="47"/>
        <v>-588352728.5484463</v>
      </c>
    </row>
    <row r="143" spans="1:26" ht="15" hidden="1" customHeight="1" outlineLevel="1" x14ac:dyDescent="0.2">
      <c r="A143" s="89" t="s">
        <v>523</v>
      </c>
      <c r="B143" s="90">
        <f>$J$88+B142</f>
        <v>1100000000</v>
      </c>
      <c r="C143" s="90">
        <f t="shared" ref="C143:Z143" si="48">B143+C142</f>
        <v>797823447.68000007</v>
      </c>
      <c r="D143" s="90">
        <f t="shared" si="48"/>
        <v>504722701.70240009</v>
      </c>
      <c r="E143" s="90">
        <f t="shared" si="48"/>
        <v>217876336.99539208</v>
      </c>
      <c r="F143" s="90">
        <f t="shared" si="48"/>
        <v>-65230662.08169657</v>
      </c>
      <c r="G143" s="90">
        <f t="shared" si="48"/>
        <v>-346862207.49944437</v>
      </c>
      <c r="H143" s="90">
        <f t="shared" si="48"/>
        <v>-629078865.00293016</v>
      </c>
      <c r="I143" s="90">
        <f t="shared" si="48"/>
        <v>-913779255.29116535</v>
      </c>
      <c r="J143" s="90">
        <f t="shared" si="48"/>
        <v>-1202736116.9592593</v>
      </c>
      <c r="K143" s="90">
        <f t="shared" si="48"/>
        <v>-1497627901.6940806</v>
      </c>
      <c r="L143" s="90">
        <f t="shared" si="48"/>
        <v>-1800066647.2209754</v>
      </c>
      <c r="M143" s="90">
        <f t="shared" si="48"/>
        <v>-2111622767.7013168</v>
      </c>
      <c r="N143" s="90">
        <f t="shared" si="48"/>
        <v>-2433847311.8346858</v>
      </c>
      <c r="O143" s="90">
        <f t="shared" si="48"/>
        <v>-2768292163.4111347</v>
      </c>
      <c r="P143" s="90">
        <f t="shared" si="48"/>
        <v>-3116528595.4392486</v>
      </c>
      <c r="Q143" s="90">
        <f t="shared" si="48"/>
        <v>-3480164535.5063281</v>
      </c>
      <c r="R143" s="90">
        <f t="shared" si="48"/>
        <v>-3860860855.233983</v>
      </c>
      <c r="S143" s="90">
        <f t="shared" si="48"/>
        <v>-4260346959.3267784</v>
      </c>
      <c r="T143" s="90">
        <f t="shared" si="48"/>
        <v>-4680435918.7158861</v>
      </c>
      <c r="U143" s="90">
        <f t="shared" si="48"/>
        <v>-5123039366.7796774</v>
      </c>
      <c r="V143" s="90">
        <f t="shared" si="48"/>
        <v>-5590182356.8235941</v>
      </c>
      <c r="W143" s="90">
        <f t="shared" si="48"/>
        <v>-6084018362.2857924</v>
      </c>
      <c r="X143" s="90">
        <f t="shared" si="48"/>
        <v>-6606844587.9675198</v>
      </c>
      <c r="Y143" s="90">
        <f t="shared" si="48"/>
        <v>-7161117750.5189562</v>
      </c>
      <c r="Z143" s="90">
        <f t="shared" si="48"/>
        <v>-7749470479.0674028</v>
      </c>
    </row>
    <row r="144" spans="1:26" ht="15" hidden="1" customHeight="1" outlineLevel="1" x14ac:dyDescent="0.2">
      <c r="A144" s="89" t="s">
        <v>524</v>
      </c>
      <c r="B144" s="90">
        <f>B142</f>
        <v>-400000000</v>
      </c>
      <c r="C144" s="90">
        <f t="shared" ref="C144:Z144" si="49">B144+C142</f>
        <v>-702176552.31999993</v>
      </c>
      <c r="D144" s="90">
        <f t="shared" si="49"/>
        <v>-995277298.29759991</v>
      </c>
      <c r="E144" s="90">
        <f t="shared" si="49"/>
        <v>-1282123663.0046079</v>
      </c>
      <c r="F144" s="90">
        <f t="shared" si="49"/>
        <v>-1565230662.0816965</v>
      </c>
      <c r="G144" s="90">
        <f t="shared" si="49"/>
        <v>-1846862207.4994442</v>
      </c>
      <c r="H144" s="90">
        <f t="shared" si="49"/>
        <v>-2129078865.0029302</v>
      </c>
      <c r="I144" s="90">
        <f t="shared" si="49"/>
        <v>-2413779255.2911654</v>
      </c>
      <c r="J144" s="90">
        <f t="shared" si="49"/>
        <v>-2702736116.959259</v>
      </c>
      <c r="K144" s="90">
        <f t="shared" si="49"/>
        <v>-2997627901.6940804</v>
      </c>
      <c r="L144" s="90">
        <f t="shared" si="49"/>
        <v>-3300066647.2209754</v>
      </c>
      <c r="M144" s="90">
        <f t="shared" si="49"/>
        <v>-3611622767.7013168</v>
      </c>
      <c r="N144" s="90">
        <f t="shared" si="49"/>
        <v>-3933847311.8346858</v>
      </c>
      <c r="O144" s="90">
        <f t="shared" si="49"/>
        <v>-4268292163.4111347</v>
      </c>
      <c r="P144" s="90">
        <f t="shared" si="49"/>
        <v>-4616528595.439249</v>
      </c>
      <c r="Q144" s="90">
        <f t="shared" si="49"/>
        <v>-4980164535.5063286</v>
      </c>
      <c r="R144" s="90">
        <f t="shared" si="49"/>
        <v>-5360860855.233984</v>
      </c>
      <c r="S144" s="90">
        <f t="shared" si="49"/>
        <v>-5760346959.3267794</v>
      </c>
      <c r="T144" s="90">
        <f t="shared" si="49"/>
        <v>-6180435918.7158871</v>
      </c>
      <c r="U144" s="90">
        <f t="shared" si="49"/>
        <v>-6623039366.7796783</v>
      </c>
      <c r="V144" s="90">
        <f t="shared" si="49"/>
        <v>-7090182356.823595</v>
      </c>
      <c r="W144" s="90">
        <f t="shared" si="49"/>
        <v>-7584018362.2857933</v>
      </c>
      <c r="X144" s="90">
        <f t="shared" si="49"/>
        <v>-8106844587.9675217</v>
      </c>
      <c r="Y144" s="90">
        <f t="shared" si="49"/>
        <v>-8661117750.518959</v>
      </c>
      <c r="Z144" s="90">
        <f t="shared" si="49"/>
        <v>-9249470479.0674057</v>
      </c>
    </row>
    <row r="145" ht="15" hidden="1" customHeight="1" outlineLevel="1" x14ac:dyDescent="0.2"/>
  </sheetData>
  <sheetProtection sheet="1" formatColumns="0" formatRows="0"/>
  <mergeCells count="7">
    <mergeCell ref="E71:H71"/>
    <mergeCell ref="E75:H75"/>
    <mergeCell ref="E73:H73"/>
    <mergeCell ref="E74:H74"/>
    <mergeCell ref="E76:H76"/>
    <mergeCell ref="E72:H72"/>
    <mergeCell ref="E77:H77"/>
  </mergeCells>
  <conditionalFormatting sqref="A58:H64">
    <cfRule type="expression" dxfId="0" priority="2">
      <formula>$H58=1</formula>
    </cfRule>
  </conditionalFormatting>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2"/>
  <sheetViews>
    <sheetView zoomScaleNormal="100" workbookViewId="0"/>
  </sheetViews>
  <sheetFormatPr baseColWidth="10" defaultColWidth="8.6640625" defaultRowHeight="15" x14ac:dyDescent="0.2"/>
  <cols>
    <col min="1" max="1" width="48" customWidth="1"/>
    <col min="2" max="4" width="18" customWidth="1"/>
    <col min="5" max="5" width="15" customWidth="1"/>
    <col min="6" max="6" width="40" customWidth="1"/>
    <col min="7" max="7" width="52" customWidth="1"/>
  </cols>
  <sheetData>
    <row r="1" spans="1:7" ht="17.25" customHeight="1" x14ac:dyDescent="0.2">
      <c r="A1" s="1" t="s">
        <v>525</v>
      </c>
    </row>
    <row r="2" spans="1:7" ht="15" customHeight="1" x14ac:dyDescent="0.2">
      <c r="A2" s="8" t="s">
        <v>526</v>
      </c>
    </row>
    <row r="3" spans="1:7" ht="15" customHeight="1" x14ac:dyDescent="0.2">
      <c r="A3" s="93" t="s">
        <v>527</v>
      </c>
    </row>
    <row r="4" spans="1:7" ht="15" customHeight="1" x14ac:dyDescent="0.2">
      <c r="A4" s="13" t="s">
        <v>311</v>
      </c>
      <c r="B4" s="13" t="s">
        <v>312</v>
      </c>
      <c r="C4" s="13" t="s">
        <v>313</v>
      </c>
      <c r="D4" s="13" t="s">
        <v>314</v>
      </c>
      <c r="E4" s="13" t="s">
        <v>168</v>
      </c>
      <c r="F4" s="13" t="s">
        <v>169</v>
      </c>
      <c r="G4" s="13" t="s">
        <v>315</v>
      </c>
    </row>
    <row r="5" spans="1:7" ht="15.75" customHeight="1" x14ac:dyDescent="0.2">
      <c r="A5" s="35" t="s">
        <v>528</v>
      </c>
      <c r="B5" s="94"/>
      <c r="C5" s="94"/>
      <c r="D5" s="94"/>
      <c r="E5" s="37" t="s">
        <v>529</v>
      </c>
      <c r="F5" s="65"/>
      <c r="G5" s="39" t="s">
        <v>530</v>
      </c>
    </row>
    <row r="6" spans="1:7" ht="31.5" customHeight="1" x14ac:dyDescent="0.2">
      <c r="A6" s="60" t="s">
        <v>531</v>
      </c>
      <c r="B6" s="94"/>
      <c r="C6" s="94"/>
      <c r="D6" s="94"/>
      <c r="E6" s="37" t="s">
        <v>532</v>
      </c>
      <c r="F6" s="65"/>
      <c r="G6" s="39" t="s">
        <v>533</v>
      </c>
    </row>
    <row r="7" spans="1:7" ht="30" customHeight="1" x14ac:dyDescent="0.2">
      <c r="A7" s="35" t="s">
        <v>534</v>
      </c>
      <c r="B7" s="41"/>
      <c r="C7" s="41"/>
      <c r="D7" s="41"/>
      <c r="E7" s="37" t="s">
        <v>198</v>
      </c>
      <c r="F7" s="65"/>
      <c r="G7" s="39" t="s">
        <v>535</v>
      </c>
    </row>
    <row r="8" spans="1:7" ht="15.75" customHeight="1" x14ac:dyDescent="0.2">
      <c r="A8" s="35" t="s">
        <v>536</v>
      </c>
      <c r="B8" s="64"/>
      <c r="C8" s="64"/>
      <c r="D8" s="64"/>
      <c r="E8" s="37" t="s">
        <v>213</v>
      </c>
      <c r="F8" s="65"/>
      <c r="G8" s="39" t="s">
        <v>537</v>
      </c>
    </row>
    <row r="9" spans="1:7" ht="15.75" customHeight="1" x14ac:dyDescent="0.2">
      <c r="A9" s="35" t="s">
        <v>538</v>
      </c>
      <c r="B9" s="64"/>
      <c r="C9" s="64"/>
      <c r="D9" s="64"/>
      <c r="E9" s="37" t="s">
        <v>261</v>
      </c>
      <c r="F9" s="65"/>
      <c r="G9" s="39" t="s">
        <v>539</v>
      </c>
    </row>
    <row r="10" spans="1:7" ht="15.75" customHeight="1" x14ac:dyDescent="0.2">
      <c r="A10" s="35" t="s">
        <v>540</v>
      </c>
      <c r="B10" s="64"/>
      <c r="C10" s="64"/>
      <c r="D10" s="64"/>
      <c r="E10" s="37" t="s">
        <v>541</v>
      </c>
      <c r="F10" s="65"/>
      <c r="G10" s="39" t="s">
        <v>542</v>
      </c>
    </row>
    <row r="11" spans="1:7" ht="15.75" customHeight="1" x14ac:dyDescent="0.2">
      <c r="A11" s="35" t="s">
        <v>543</v>
      </c>
      <c r="B11" s="64"/>
      <c r="C11" s="64"/>
      <c r="D11" s="64"/>
      <c r="E11" s="37" t="s">
        <v>541</v>
      </c>
      <c r="F11" s="65"/>
      <c r="G11" s="39" t="s">
        <v>544</v>
      </c>
    </row>
    <row r="12" spans="1:7" ht="15.75" customHeight="1" x14ac:dyDescent="0.2">
      <c r="A12" s="35" t="s">
        <v>545</v>
      </c>
      <c r="B12" s="64"/>
      <c r="C12" s="64"/>
      <c r="D12" s="64"/>
      <c r="E12" s="37" t="s">
        <v>261</v>
      </c>
      <c r="F12" s="65"/>
      <c r="G12" s="39" t="s">
        <v>546</v>
      </c>
    </row>
    <row r="13" spans="1:7" ht="15" customHeight="1" x14ac:dyDescent="0.2">
      <c r="A13" s="35" t="s">
        <v>346</v>
      </c>
      <c r="B13" s="41">
        <v>0.15</v>
      </c>
      <c r="C13" s="41">
        <v>0.15</v>
      </c>
      <c r="D13" s="41">
        <v>0.15</v>
      </c>
      <c r="E13" s="37" t="s">
        <v>198</v>
      </c>
      <c r="F13" s="65" t="s">
        <v>547</v>
      </c>
      <c r="G13" s="37"/>
    </row>
    <row r="15" spans="1:7" ht="26.25" customHeight="1" x14ac:dyDescent="0.2">
      <c r="A15" s="13" t="s">
        <v>548</v>
      </c>
      <c r="B15" s="13" t="s">
        <v>312</v>
      </c>
      <c r="C15" s="13" t="s">
        <v>313</v>
      </c>
      <c r="D15" s="13" t="s">
        <v>314</v>
      </c>
      <c r="E15" s="13" t="s">
        <v>359</v>
      </c>
    </row>
    <row r="16" spans="1:7" ht="15" customHeight="1" x14ac:dyDescent="0.2">
      <c r="A16" s="42" t="s">
        <v>549</v>
      </c>
      <c r="B16" s="43">
        <f>B5*B6*52/12*B7*B8+B9</f>
        <v>0</v>
      </c>
      <c r="C16" s="43">
        <f>C5*C6*52/12*C7*C8+C9</f>
        <v>0</v>
      </c>
      <c r="D16" s="43">
        <f>D5*D6*52/12*D7*D8+D9</f>
        <v>0</v>
      </c>
    </row>
    <row r="17" spans="1:5" ht="15" customHeight="1" x14ac:dyDescent="0.2">
      <c r="A17" s="42" t="s">
        <v>550</v>
      </c>
      <c r="B17" s="43">
        <f>B16-B12</f>
        <v>0</v>
      </c>
      <c r="C17" s="43">
        <f>C16-C12</f>
        <v>0</v>
      </c>
      <c r="D17" s="43">
        <f>D16-D12</f>
        <v>0</v>
      </c>
      <c r="E17" t="s">
        <v>411</v>
      </c>
    </row>
    <row r="18" spans="1:5" ht="15" customHeight="1" x14ac:dyDescent="0.2">
      <c r="A18" s="42" t="s">
        <v>551</v>
      </c>
      <c r="B18" s="43">
        <f>B10+B11</f>
        <v>0</v>
      </c>
      <c r="C18" s="43">
        <f>C10+C11</f>
        <v>0</v>
      </c>
      <c r="D18" s="43">
        <f>D10+D11</f>
        <v>0</v>
      </c>
    </row>
    <row r="19" spans="1:5" ht="15" customHeight="1" x14ac:dyDescent="0.2">
      <c r="A19" s="42" t="s">
        <v>552</v>
      </c>
      <c r="B19" s="95" t="str">
        <f>IF(B5=0,"Chưa điền",IF(B17&gt;0,B18/B17,"Không hoàn vốn"))</f>
        <v>Chưa điền</v>
      </c>
      <c r="C19" s="95" t="str">
        <f>IF(C5=0,"Chưa điền",IF(C17&gt;0,C18/C17,"Không hoàn vốn"))</f>
        <v>Chưa điền</v>
      </c>
      <c r="D19" s="95" t="str">
        <f>IF(D5=0,"Chưa điền",IF(D17&gt;0,D18/D17,"Không hoàn vốn"))</f>
        <v>Chưa điền</v>
      </c>
      <c r="E19" t="s">
        <v>368</v>
      </c>
    </row>
    <row r="20" spans="1:5" ht="15" customHeight="1" x14ac:dyDescent="0.2">
      <c r="A20" s="42" t="s">
        <v>553</v>
      </c>
      <c r="B20" s="45">
        <f>IFERROR((12*B17-B18)/B18,0)</f>
        <v>0</v>
      </c>
      <c r="C20" s="45">
        <f>IFERROR((12*C17-C18)/C18,0)</f>
        <v>0</v>
      </c>
      <c r="D20" s="45">
        <f>IFERROR((12*D17-D18)/D18,0)</f>
        <v>0</v>
      </c>
      <c r="E20" t="s">
        <v>411</v>
      </c>
    </row>
    <row r="21" spans="1:5" ht="15" customHeight="1" x14ac:dyDescent="0.2">
      <c r="A21" s="42" t="s">
        <v>554</v>
      </c>
      <c r="B21" s="44">
        <f>PV(B13/12,24,-B17)-B18</f>
        <v>0</v>
      </c>
      <c r="C21" s="44">
        <f>PV(C13/12,24,-C17)-C18</f>
        <v>0</v>
      </c>
      <c r="D21" s="44">
        <f>PV(D13/12,24,-D17)-D18</f>
        <v>0</v>
      </c>
      <c r="E21" t="s">
        <v>411</v>
      </c>
    </row>
    <row r="22" spans="1:5" ht="15" customHeight="1" x14ac:dyDescent="0.2">
      <c r="A22" s="42" t="s">
        <v>555</v>
      </c>
      <c r="B22" s="68" t="str">
        <f>IF(B5=0,"Chưa điền",IF(NOT(ISNUMBER(B19)),"Dừng",IF(B19&lt;12,"Làm","Thử nghiệm nhỏ")))</f>
        <v>Chưa điền</v>
      </c>
      <c r="C22" s="68" t="str">
        <f>IF(C5=0,"Chưa điền",IF(NOT(ISNUMBER(C19)),"Dừng",IF(C19&lt;12,"Làm","Thử nghiệm nhỏ")))</f>
        <v>Chưa điền</v>
      </c>
      <c r="D22" s="68" t="str">
        <f>IF(D5=0,"Chưa điền",IF(NOT(ISNUMBER(D19)),"Dừng",IF(D19&lt;12,"Làm","Thử nghiệm nhỏ")))</f>
        <v>Chưa điền</v>
      </c>
      <c r="E22" s="46" t="s">
        <v>556</v>
      </c>
    </row>
  </sheetData>
  <sheetProtection sheet="1" formatColumns="0" formatRows="0"/>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7"/>
  <sheetViews>
    <sheetView zoomScaleNormal="100" workbookViewId="0"/>
  </sheetViews>
  <sheetFormatPr baseColWidth="10" defaultColWidth="8.6640625" defaultRowHeight="15" x14ac:dyDescent="0.2"/>
  <cols>
    <col min="1" max="1" width="60" customWidth="1"/>
    <col min="2" max="2" width="24" customWidth="1"/>
    <col min="3" max="3" width="26" customWidth="1"/>
  </cols>
  <sheetData>
    <row r="1" spans="1:3" ht="17.25" customHeight="1" x14ac:dyDescent="0.2">
      <c r="A1" s="1" t="s">
        <v>557</v>
      </c>
    </row>
    <row r="2" spans="1:3" ht="31.5" customHeight="1" x14ac:dyDescent="0.2">
      <c r="A2" s="116" t="s">
        <v>558</v>
      </c>
      <c r="B2" s="102"/>
      <c r="C2" s="102"/>
    </row>
    <row r="4" spans="1:3" ht="15" customHeight="1" x14ac:dyDescent="0.2">
      <c r="A4" s="13" t="s">
        <v>559</v>
      </c>
      <c r="B4" s="13" t="s">
        <v>560</v>
      </c>
      <c r="C4" s="13" t="s">
        <v>561</v>
      </c>
    </row>
    <row r="5" spans="1:3" ht="15" customHeight="1" x14ac:dyDescent="0.2">
      <c r="A5" s="42" t="s">
        <v>562</v>
      </c>
      <c r="B5" s="45">
        <f>'1_Chi phí mỗi việc'!B25</f>
        <v>4.9280952987487172</v>
      </c>
      <c r="C5" s="55" t="str">
        <f>IF(B5&gt;=0.3,"Đạt","Xem lại")</f>
        <v>Đạt</v>
      </c>
    </row>
    <row r="6" spans="1:3" ht="15" customHeight="1" x14ac:dyDescent="0.2">
      <c r="A6" s="42" t="s">
        <v>563</v>
      </c>
      <c r="B6" s="45">
        <f>'4_Chỉ số mỗi khách'!C7</f>
        <v>0.89462609433691753</v>
      </c>
      <c r="C6" s="55" t="str">
        <f>IF(B6&gt;=0.6,"Đạt","Xem lại")</f>
        <v>Đạt</v>
      </c>
    </row>
    <row r="7" spans="1:3" ht="15" customHeight="1" x14ac:dyDescent="0.2">
      <c r="A7" s="42" t="s">
        <v>564</v>
      </c>
      <c r="B7" s="96">
        <f>'4_Chỉ số mỗi khách'!C11</f>
        <v>1.1885746681904761</v>
      </c>
      <c r="C7" s="55" t="str">
        <f>IF(B7&gt;3,"Đạt","Xem lại")</f>
        <v>Xem lại</v>
      </c>
    </row>
    <row r="8" spans="1:3" ht="15" customHeight="1" x14ac:dyDescent="0.2">
      <c r="A8" s="42" t="s">
        <v>565</v>
      </c>
      <c r="B8" s="66">
        <f>'4_Chỉ số mỗi khách'!C12</f>
        <v>5.6089590709654047</v>
      </c>
      <c r="C8" s="55" t="str">
        <f>IF(AND(B8&gt;0,B8&lt;12),"Đạt","Xem lại")</f>
        <v>Đạt</v>
      </c>
    </row>
    <row r="9" spans="1:3" ht="15" customHeight="1" x14ac:dyDescent="0.2">
      <c r="A9" s="42" t="s">
        <v>566</v>
      </c>
      <c r="B9" s="55" t="str">
        <f>IF(AND('3_Giả định'!C9&gt;0,'3_Giả định'!C10&gt;0,'3_Giả định'!D9&gt;=1.5*'3_Giả định'!C9,'3_Giả định'!D10&gt;=1.5*'3_Giả định'!C10),"Có","Không")</f>
        <v>Có</v>
      </c>
      <c r="C9" s="55" t="str">
        <f>IF(B9="Có","Đạt","Xem lại")</f>
        <v>Đạt</v>
      </c>
    </row>
    <row r="10" spans="1:3" ht="15" customHeight="1" x14ac:dyDescent="0.2">
      <c r="A10" s="42" t="s">
        <v>567</v>
      </c>
      <c r="B10" s="73">
        <f>'5_Dòng tiền &amp; hiệu quả'!D47</f>
        <v>5</v>
      </c>
      <c r="C10" s="55" t="str">
        <f>IF(B10="Chưa điền","Chưa điền",IF(ISNUMBER(B10),IF(B10&gt;=12,"Đạt","Cần kế hoạch cắt giảm"),"Đạt"))</f>
        <v>Cần kế hoạch cắt giảm</v>
      </c>
    </row>
    <row r="11" spans="1:3" ht="15" customHeight="1" x14ac:dyDescent="0.2">
      <c r="A11" s="42" t="s">
        <v>568</v>
      </c>
      <c r="B11" s="43">
        <f>'5_Dòng tiền &amp; hiệu quả'!C44</f>
        <v>-5591201777.4505329</v>
      </c>
      <c r="C11" s="55" t="str">
        <f>IF(B11&gt;0,"Đạt","Xem lại")</f>
        <v>Xem lại</v>
      </c>
    </row>
    <row r="12" spans="1:3" ht="15" customHeight="1" x14ac:dyDescent="0.2">
      <c r="A12" s="42" t="s">
        <v>569</v>
      </c>
      <c r="B12" s="55" t="str">
        <f>'5_Dòng tiền &amp; hiệu quả'!B66</f>
        <v>Chi phí có một khách tăng</v>
      </c>
      <c r="C12" s="55" t="str">
        <f>IF(B12="Chưa đủ số liệu","Xem lại","Ghi vào câu 3")</f>
        <v>Ghi vào câu 3</v>
      </c>
    </row>
    <row r="13" spans="1:3" ht="16.5" customHeight="1" x14ac:dyDescent="0.2">
      <c r="A13" s="113" t="s">
        <v>570</v>
      </c>
      <c r="B13" s="102"/>
      <c r="C13" s="102"/>
    </row>
    <row r="14" spans="1:3" ht="48.75" customHeight="1" x14ac:dyDescent="0.2">
      <c r="A14" s="106" t="s">
        <v>571</v>
      </c>
      <c r="B14" s="102"/>
      <c r="C14" s="102"/>
    </row>
    <row r="15" spans="1:3" ht="48" customHeight="1" x14ac:dyDescent="0.2">
      <c r="A15" s="114" t="s">
        <v>572</v>
      </c>
      <c r="B15" s="115"/>
      <c r="C15" s="115"/>
    </row>
    <row r="17" spans="1:3" ht="18.75" customHeight="1" x14ac:dyDescent="0.2">
      <c r="A17" s="106" t="s">
        <v>573</v>
      </c>
      <c r="B17" s="102"/>
      <c r="C17" s="102"/>
    </row>
    <row r="18" spans="1:3" ht="48" customHeight="1" x14ac:dyDescent="0.2">
      <c r="A18" s="114" t="s">
        <v>574</v>
      </c>
      <c r="B18" s="115"/>
      <c r="C18" s="115"/>
    </row>
    <row r="20" spans="1:3" ht="18.75" customHeight="1" x14ac:dyDescent="0.2">
      <c r="A20" s="106" t="s">
        <v>575</v>
      </c>
      <c r="B20" s="102"/>
      <c r="C20" s="102"/>
    </row>
    <row r="21" spans="1:3" ht="48" customHeight="1" x14ac:dyDescent="0.2">
      <c r="A21" s="114" t="s">
        <v>576</v>
      </c>
      <c r="B21" s="115"/>
      <c r="C21" s="115"/>
    </row>
    <row r="23" spans="1:3" ht="63.75" customHeight="1" x14ac:dyDescent="0.2">
      <c r="A23" s="106" t="s">
        <v>577</v>
      </c>
      <c r="B23" s="102"/>
      <c r="C23" s="102"/>
    </row>
    <row r="24" spans="1:3" ht="48" customHeight="1" x14ac:dyDescent="0.2">
      <c r="A24" s="114" t="s">
        <v>578</v>
      </c>
      <c r="B24" s="115"/>
      <c r="C24" s="115"/>
    </row>
    <row r="26" spans="1:3" ht="33.75" customHeight="1" x14ac:dyDescent="0.2">
      <c r="A26" s="106" t="s">
        <v>579</v>
      </c>
      <c r="B26" s="102"/>
      <c r="C26" s="102"/>
    </row>
    <row r="27" spans="1:3" ht="48" customHeight="1" x14ac:dyDescent="0.2">
      <c r="A27" s="103" t="s">
        <v>580</v>
      </c>
      <c r="B27" s="104"/>
      <c r="C27" s="105"/>
    </row>
  </sheetData>
  <sheetProtection sheet="1" formatColumns="0" formatRows="0"/>
  <mergeCells count="12">
    <mergeCell ref="A2:C2"/>
    <mergeCell ref="A27:C27"/>
    <mergeCell ref="A21:C21"/>
    <mergeCell ref="A15:C15"/>
    <mergeCell ref="A20:C20"/>
    <mergeCell ref="A24:C24"/>
    <mergeCell ref="A13:C13"/>
    <mergeCell ref="A26:C26"/>
    <mergeCell ref="A23:C23"/>
    <mergeCell ref="A14:C14"/>
    <mergeCell ref="A17:C17"/>
    <mergeCell ref="A18:C18"/>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22"/>
  <sheetViews>
    <sheetView zoomScaleNormal="100" workbookViewId="0"/>
  </sheetViews>
  <sheetFormatPr baseColWidth="10" defaultColWidth="8.6640625" defaultRowHeight="15" x14ac:dyDescent="0.2"/>
  <cols>
    <col min="1" max="1" width="28" customWidth="1"/>
    <col min="2" max="2" width="30" customWidth="1"/>
    <col min="3" max="3" width="80" customWidth="1"/>
    <col min="4" max="4" width="40" customWidth="1"/>
  </cols>
  <sheetData>
    <row r="1" spans="1:4" ht="17.25" customHeight="1" x14ac:dyDescent="0.2">
      <c r="A1" s="1" t="s">
        <v>581</v>
      </c>
    </row>
    <row r="2" spans="1:4" ht="15" customHeight="1" x14ac:dyDescent="0.2">
      <c r="A2" s="8" t="s">
        <v>582</v>
      </c>
    </row>
    <row r="4" spans="1:4" ht="15" customHeight="1" x14ac:dyDescent="0.2">
      <c r="A4" s="13" t="s">
        <v>583</v>
      </c>
      <c r="B4" s="13" t="s">
        <v>584</v>
      </c>
      <c r="C4" s="13" t="s">
        <v>585</v>
      </c>
      <c r="D4" s="13" t="s">
        <v>586</v>
      </c>
    </row>
    <row r="5" spans="1:4" ht="15" customHeight="1" x14ac:dyDescent="0.2">
      <c r="A5" s="42" t="s">
        <v>587</v>
      </c>
      <c r="B5">
        <v>10</v>
      </c>
      <c r="C5" s="3" t="s">
        <v>588</v>
      </c>
      <c r="D5" s="97"/>
    </row>
    <row r="6" spans="1:4" ht="15" customHeight="1" x14ac:dyDescent="0.2">
      <c r="A6" s="42" t="s">
        <v>589</v>
      </c>
      <c r="B6">
        <v>15</v>
      </c>
      <c r="C6" s="3" t="s">
        <v>590</v>
      </c>
      <c r="D6" s="97"/>
    </row>
    <row r="7" spans="1:4" ht="15" customHeight="1" x14ac:dyDescent="0.2">
      <c r="A7" s="42" t="s">
        <v>591</v>
      </c>
      <c r="B7">
        <v>15</v>
      </c>
      <c r="C7" s="3" t="s">
        <v>592</v>
      </c>
      <c r="D7" s="97"/>
    </row>
    <row r="8" spans="1:4" ht="15" customHeight="1" x14ac:dyDescent="0.2">
      <c r="A8" s="42" t="s">
        <v>593</v>
      </c>
      <c r="B8">
        <v>20</v>
      </c>
      <c r="C8" s="3" t="s">
        <v>594</v>
      </c>
      <c r="D8" s="97"/>
    </row>
    <row r="9" spans="1:4" ht="15" customHeight="1" x14ac:dyDescent="0.2">
      <c r="A9" s="42" t="s">
        <v>595</v>
      </c>
      <c r="B9">
        <v>20</v>
      </c>
      <c r="C9" s="3" t="s">
        <v>596</v>
      </c>
      <c r="D9" s="97"/>
    </row>
    <row r="10" spans="1:4" ht="15" customHeight="1" x14ac:dyDescent="0.2">
      <c r="A10" s="42" t="s">
        <v>597</v>
      </c>
      <c r="B10">
        <v>20</v>
      </c>
      <c r="C10" s="3" t="s">
        <v>598</v>
      </c>
      <c r="D10" s="97"/>
    </row>
    <row r="11" spans="1:4" ht="15" customHeight="1" x14ac:dyDescent="0.2">
      <c r="A11" s="4" t="s">
        <v>599</v>
      </c>
      <c r="B11">
        <f>SUM(B5:B10)</f>
        <v>100</v>
      </c>
      <c r="D11" s="55">
        <f>SUM(D5:D10)</f>
        <v>0</v>
      </c>
    </row>
    <row r="12" spans="1:4" ht="15" customHeight="1" x14ac:dyDescent="0.2">
      <c r="A12" s="4" t="s">
        <v>600</v>
      </c>
      <c r="B12" t="s">
        <v>601</v>
      </c>
      <c r="C12" t="s">
        <v>602</v>
      </c>
      <c r="D12" s="97"/>
    </row>
    <row r="15" spans="1:4" ht="15" customHeight="1" x14ac:dyDescent="0.2">
      <c r="A15" s="72" t="s">
        <v>603</v>
      </c>
    </row>
    <row r="16" spans="1:4" ht="15" customHeight="1" x14ac:dyDescent="0.2">
      <c r="A16" s="13" t="s">
        <v>583</v>
      </c>
      <c r="B16" s="13" t="s">
        <v>604</v>
      </c>
      <c r="C16" s="13" t="s">
        <v>605</v>
      </c>
      <c r="D16" s="13" t="s">
        <v>606</v>
      </c>
    </row>
    <row r="17" spans="1:4" ht="45.75" customHeight="1" x14ac:dyDescent="0.2">
      <c r="A17" s="19" t="s">
        <v>607</v>
      </c>
      <c r="B17" s="98" t="s">
        <v>608</v>
      </c>
      <c r="C17" s="98" t="s">
        <v>609</v>
      </c>
      <c r="D17" s="98" t="s">
        <v>610</v>
      </c>
    </row>
    <row r="18" spans="1:4" ht="45.75" customHeight="1" x14ac:dyDescent="0.2">
      <c r="A18" s="19" t="s">
        <v>611</v>
      </c>
      <c r="B18" s="98" t="s">
        <v>612</v>
      </c>
      <c r="C18" s="98" t="s">
        <v>613</v>
      </c>
      <c r="D18" s="98" t="s">
        <v>614</v>
      </c>
    </row>
    <row r="19" spans="1:4" ht="45.75" customHeight="1" x14ac:dyDescent="0.2">
      <c r="A19" s="19" t="s">
        <v>615</v>
      </c>
      <c r="B19" s="98" t="s">
        <v>616</v>
      </c>
      <c r="C19" s="98" t="s">
        <v>617</v>
      </c>
      <c r="D19" s="98" t="s">
        <v>618</v>
      </c>
    </row>
    <row r="20" spans="1:4" ht="45.75" customHeight="1" x14ac:dyDescent="0.2">
      <c r="A20" s="19" t="s">
        <v>619</v>
      </c>
      <c r="B20" s="98" t="s">
        <v>620</v>
      </c>
      <c r="C20" s="98" t="s">
        <v>621</v>
      </c>
      <c r="D20" s="98" t="s">
        <v>622</v>
      </c>
    </row>
    <row r="22" spans="1:4" ht="15" customHeight="1" x14ac:dyDescent="0.2">
      <c r="A22" s="46" t="s">
        <v>623</v>
      </c>
    </row>
  </sheetData>
  <sheetProtection sheet="1" formatColumns="0" formatRows="0"/>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28"/>
  <sheetViews>
    <sheetView zoomScaleNormal="100" workbookViewId="0"/>
  </sheetViews>
  <sheetFormatPr baseColWidth="10" defaultColWidth="8.6640625" defaultRowHeight="15" x14ac:dyDescent="0.2"/>
  <cols>
    <col min="1" max="1" width="44" customWidth="1"/>
    <col min="2" max="3" width="22" customWidth="1"/>
    <col min="4" max="4" width="70" customWidth="1"/>
    <col min="5" max="5" width="48" customWidth="1"/>
  </cols>
  <sheetData>
    <row r="1" spans="1:5" ht="15" customHeight="1" x14ac:dyDescent="0.2">
      <c r="A1" s="72" t="s">
        <v>624</v>
      </c>
    </row>
    <row r="2" spans="1:5" ht="15" customHeight="1" x14ac:dyDescent="0.2">
      <c r="A2" s="46" t="s">
        <v>625</v>
      </c>
    </row>
    <row r="4" spans="1:5" ht="27.75" customHeight="1" x14ac:dyDescent="0.2">
      <c r="A4" s="13" t="s">
        <v>626</v>
      </c>
      <c r="B4" s="13" t="s">
        <v>627</v>
      </c>
      <c r="C4" s="13" t="s">
        <v>628</v>
      </c>
      <c r="D4" s="13" t="s">
        <v>629</v>
      </c>
      <c r="E4" s="13" t="s">
        <v>61</v>
      </c>
    </row>
    <row r="5" spans="1:5" ht="15" customHeight="1" x14ac:dyDescent="0.2">
      <c r="A5" s="74" t="s">
        <v>630</v>
      </c>
      <c r="B5" s="99">
        <v>0.1</v>
      </c>
      <c r="C5" s="99">
        <v>0.5</v>
      </c>
      <c r="D5" s="74" t="s">
        <v>631</v>
      </c>
      <c r="E5" s="74" t="s">
        <v>632</v>
      </c>
    </row>
    <row r="6" spans="1:5" ht="15" customHeight="1" x14ac:dyDescent="0.2">
      <c r="A6" s="74" t="s">
        <v>633</v>
      </c>
      <c r="B6" s="99">
        <v>2</v>
      </c>
      <c r="C6" s="99">
        <v>10</v>
      </c>
      <c r="D6" s="74" t="s">
        <v>634</v>
      </c>
      <c r="E6" s="74" t="s">
        <v>635</v>
      </c>
    </row>
    <row r="7" spans="1:5" ht="15" customHeight="1" x14ac:dyDescent="0.2">
      <c r="A7" s="74" t="s">
        <v>636</v>
      </c>
      <c r="B7" s="99">
        <v>1</v>
      </c>
      <c r="C7" s="99">
        <v>5</v>
      </c>
      <c r="D7" s="74" t="s">
        <v>637</v>
      </c>
      <c r="E7" s="74"/>
    </row>
    <row r="8" spans="1:5" ht="15" customHeight="1" x14ac:dyDescent="0.2">
      <c r="A8" s="74" t="s">
        <v>638</v>
      </c>
      <c r="B8" s="99">
        <v>2</v>
      </c>
      <c r="C8" s="99">
        <v>10</v>
      </c>
      <c r="D8" s="74" t="s">
        <v>637</v>
      </c>
      <c r="E8" s="74" t="s">
        <v>639</v>
      </c>
    </row>
    <row r="11" spans="1:5" ht="15" customHeight="1" x14ac:dyDescent="0.2">
      <c r="A11" s="13" t="s">
        <v>640</v>
      </c>
      <c r="B11" s="13" t="s">
        <v>167</v>
      </c>
      <c r="C11" s="13" t="s">
        <v>168</v>
      </c>
      <c r="D11" s="13" t="s">
        <v>641</v>
      </c>
      <c r="E11" s="13" t="s">
        <v>61</v>
      </c>
    </row>
    <row r="12" spans="1:5" ht="15" customHeight="1" x14ac:dyDescent="0.2">
      <c r="A12" s="74" t="s">
        <v>642</v>
      </c>
      <c r="B12" s="100">
        <v>26170</v>
      </c>
      <c r="C12" s="74" t="s">
        <v>194</v>
      </c>
      <c r="D12" s="74" t="s">
        <v>643</v>
      </c>
      <c r="E12" s="74" t="s">
        <v>644</v>
      </c>
    </row>
    <row r="13" spans="1:5" ht="15" customHeight="1" x14ac:dyDescent="0.2">
      <c r="A13" s="74" t="s">
        <v>645</v>
      </c>
      <c r="B13" s="100">
        <v>25636</v>
      </c>
      <c r="C13" s="74" t="s">
        <v>194</v>
      </c>
      <c r="D13" s="74" t="s">
        <v>646</v>
      </c>
      <c r="E13" s="74" t="s">
        <v>647</v>
      </c>
    </row>
    <row r="14" spans="1:5" ht="15" customHeight="1" x14ac:dyDescent="0.2">
      <c r="A14" s="74" t="s">
        <v>648</v>
      </c>
      <c r="B14" s="100">
        <v>5310000</v>
      </c>
      <c r="C14" s="74" t="s">
        <v>261</v>
      </c>
      <c r="D14" s="74" t="s">
        <v>649</v>
      </c>
      <c r="E14" s="74" t="s">
        <v>650</v>
      </c>
    </row>
    <row r="15" spans="1:5" ht="15" customHeight="1" x14ac:dyDescent="0.2">
      <c r="A15" s="74" t="s">
        <v>651</v>
      </c>
      <c r="B15" s="100">
        <v>25500</v>
      </c>
      <c r="C15" s="74" t="s">
        <v>213</v>
      </c>
      <c r="D15" s="74" t="s">
        <v>649</v>
      </c>
      <c r="E15" s="74" t="s">
        <v>652</v>
      </c>
    </row>
    <row r="18" spans="1:5" ht="15" customHeight="1" x14ac:dyDescent="0.2">
      <c r="A18" s="13" t="s">
        <v>653</v>
      </c>
      <c r="B18" s="13" t="s">
        <v>654</v>
      </c>
    </row>
    <row r="19" spans="1:5" ht="48" customHeight="1" x14ac:dyDescent="0.2">
      <c r="A19" s="98" t="s">
        <v>655</v>
      </c>
      <c r="B19" s="117" t="s">
        <v>656</v>
      </c>
      <c r="C19" s="102"/>
      <c r="D19" s="102"/>
      <c r="E19" s="102"/>
    </row>
    <row r="20" spans="1:5" ht="48" customHeight="1" x14ac:dyDescent="0.2">
      <c r="A20" s="98" t="s">
        <v>657</v>
      </c>
      <c r="B20" s="117" t="s">
        <v>658</v>
      </c>
      <c r="C20" s="102"/>
      <c r="D20" s="102"/>
      <c r="E20" s="102"/>
    </row>
    <row r="21" spans="1:5" ht="48" customHeight="1" x14ac:dyDescent="0.2">
      <c r="A21" s="98" t="s">
        <v>659</v>
      </c>
      <c r="B21" s="117" t="s">
        <v>660</v>
      </c>
      <c r="C21" s="102"/>
      <c r="D21" s="102"/>
      <c r="E21" s="102"/>
    </row>
    <row r="23" spans="1:5" ht="15" customHeight="1" x14ac:dyDescent="0.2">
      <c r="A23" s="13" t="s">
        <v>661</v>
      </c>
      <c r="B23" s="13" t="s">
        <v>662</v>
      </c>
    </row>
    <row r="24" spans="1:5" ht="48" customHeight="1" x14ac:dyDescent="0.2">
      <c r="A24" s="98" t="s">
        <v>663</v>
      </c>
      <c r="B24" s="117" t="s">
        <v>664</v>
      </c>
      <c r="C24" s="102"/>
      <c r="D24" s="102"/>
      <c r="E24" s="102"/>
    </row>
    <row r="25" spans="1:5" ht="48" customHeight="1" x14ac:dyDescent="0.2">
      <c r="A25" s="98" t="s">
        <v>665</v>
      </c>
      <c r="B25" s="117" t="s">
        <v>666</v>
      </c>
      <c r="C25" s="102"/>
      <c r="D25" s="102"/>
      <c r="E25" s="102"/>
    </row>
    <row r="26" spans="1:5" ht="48" customHeight="1" x14ac:dyDescent="0.2">
      <c r="A26" s="98" t="s">
        <v>667</v>
      </c>
      <c r="B26" s="117" t="s">
        <v>668</v>
      </c>
      <c r="C26" s="102"/>
      <c r="D26" s="102"/>
      <c r="E26" s="102"/>
    </row>
    <row r="27" spans="1:5" ht="48" customHeight="1" x14ac:dyDescent="0.2">
      <c r="A27" s="98" t="s">
        <v>669</v>
      </c>
      <c r="B27" s="117" t="s">
        <v>670</v>
      </c>
      <c r="C27" s="102"/>
      <c r="D27" s="102"/>
      <c r="E27" s="102"/>
    </row>
    <row r="28" spans="1:5" ht="48" customHeight="1" x14ac:dyDescent="0.2">
      <c r="A28" s="98" t="s">
        <v>671</v>
      </c>
      <c r="B28" s="117" t="s">
        <v>672</v>
      </c>
      <c r="C28" s="102"/>
      <c r="D28" s="102"/>
      <c r="E28" s="102"/>
    </row>
  </sheetData>
  <sheetProtection sheet="1" formatColumns="0" formatRows="0"/>
  <mergeCells count="8">
    <mergeCell ref="B19:E19"/>
    <mergeCell ref="B20:E20"/>
    <mergeCell ref="B28:E28"/>
    <mergeCell ref="B26:E26"/>
    <mergeCell ref="B27:E27"/>
    <mergeCell ref="B21:E21"/>
    <mergeCell ref="B25:E25"/>
    <mergeCell ref="B24:E2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0_Hướng dẫn</vt:lpstr>
      <vt:lpstr>0_Đầu vào</vt:lpstr>
      <vt:lpstr>A_Tài chính căn bản</vt:lpstr>
      <vt:lpstr>1_Chi phí mỗi việc</vt:lpstr>
      <vt:lpstr>2_Định giá</vt:lpstr>
      <vt:lpstr>3_Giả định</vt:lpstr>
      <vt:lpstr>4_Chỉ số mỗi khách</vt:lpstr>
      <vt:lpstr>5_Dòng tiền &amp; hiệu quả</vt:lpstr>
      <vt:lpstr>6_Hiệu quả nội bộ</vt:lpstr>
      <vt:lpstr>7_Quyết định</vt:lpstr>
      <vt:lpstr>8_Thang điểm</vt:lpstr>
      <vt:lpstr>9_Số tham khảo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Linda Nguyen</cp:lastModifiedBy>
  <cp:revision>0</cp:revision>
  <dcterms:created xsi:type="dcterms:W3CDTF">2026-10-04T05:18:06Z</dcterms:created>
  <dcterms:modified xsi:type="dcterms:W3CDTF">2026-10-12T16:04:03Z</dcterms:modified>
  <dc:language>en-US</dc:language>
</cp:coreProperties>
</file>